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Progress\Original Repo\Multi swarm\ACS-SA-RING\MT-ACS-RING\results\Curated Results\"/>
    </mc:Choice>
  </mc:AlternateContent>
  <xr:revisionPtr revIDLastSave="0" documentId="13_ncr:1_{34C9F6F4-E503-4126-8796-418DDCC044BC}" xr6:coauthVersionLast="47" xr6:coauthVersionMax="47" xr10:uidLastSave="{00000000-0000-0000-0000-000000000000}"/>
  <bookViews>
    <workbookView xWindow="-120" yWindow="-120" windowWidth="29040" windowHeight="15720" xr2:uid="{32F16018-EAB3-484A-8787-6FE6CDD1740C}"/>
  </bookViews>
  <sheets>
    <sheet name="Ablation Experiments" sheetId="6" r:id="rId1"/>
    <sheet name="Main Experimentation Runs" sheetId="9" r:id="rId2"/>
    <sheet name="Main Experimentation" sheetId="8" r:id="rId3"/>
    <sheet name="Ablation Summ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9" l="1"/>
  <c r="Z22" i="9"/>
  <c r="Y22" i="9"/>
  <c r="X22" i="9"/>
  <c r="K24" i="9"/>
  <c r="J24" i="9"/>
  <c r="M24" i="9"/>
  <c r="L24" i="9"/>
  <c r="M22" i="9"/>
  <c r="L22" i="9"/>
  <c r="K22" i="9"/>
  <c r="J22" i="9"/>
  <c r="AA24" i="9"/>
  <c r="Z24" i="9"/>
  <c r="Y24" i="9"/>
  <c r="X24" i="9"/>
  <c r="AA23" i="9"/>
  <c r="Z23" i="9"/>
  <c r="Y23" i="9"/>
  <c r="X23" i="9"/>
  <c r="T24" i="9"/>
  <c r="S24" i="9"/>
  <c r="R24" i="9"/>
  <c r="Q24" i="9"/>
  <c r="T23" i="9"/>
  <c r="S23" i="9"/>
  <c r="R23" i="9"/>
  <c r="Q23" i="9"/>
  <c r="T22" i="9"/>
  <c r="S22" i="9"/>
  <c r="R22" i="9"/>
  <c r="Q22" i="9"/>
  <c r="M23" i="9"/>
  <c r="L23" i="9"/>
  <c r="K23" i="9"/>
  <c r="J23" i="9"/>
  <c r="D22" i="9"/>
  <c r="E22" i="9"/>
  <c r="F22" i="9"/>
  <c r="C22" i="9"/>
  <c r="D23" i="9"/>
  <c r="E23" i="9"/>
  <c r="F23" i="9"/>
  <c r="C23" i="9"/>
  <c r="E24" i="9"/>
  <c r="F24" i="9"/>
  <c r="D24" i="9"/>
  <c r="C24" i="9"/>
</calcChain>
</file>

<file path=xl/sharedStrings.xml><?xml version="1.0" encoding="utf-8"?>
<sst xmlns="http://schemas.openxmlformats.org/spreadsheetml/2006/main" count="550" uniqueCount="59">
  <si>
    <t>ANT COLONY SYSTEM</t>
  </si>
  <si>
    <t>Number of ants</t>
  </si>
  <si>
    <t>success_rate</t>
  </si>
  <si>
    <t>time_mean</t>
  </si>
  <si>
    <t>time_std</t>
  </si>
  <si>
    <t>iter_mean</t>
  </si>
  <si>
    <t xml:space="preserve">q0 (Greedy or Roulette) </t>
  </si>
  <si>
    <t>𝜌0 (Pheromone Persistence)</t>
  </si>
  <si>
    <t>𝜌BVE (Evaporation Rate)</t>
  </si>
  <si>
    <t>SIMULATED ANNEALING</t>
  </si>
  <si>
    <t xml:space="preserve">Initial Temperature </t>
  </si>
  <si>
    <t xml:space="preserve">Stopping Temperature </t>
  </si>
  <si>
    <t>saFreq (Frequency)</t>
  </si>
  <si>
    <t>𝛼 (Cooling Rate)</t>
  </si>
  <si>
    <t>MULTITHREADED</t>
  </si>
  <si>
    <t>Number of Threads</t>
  </si>
  <si>
    <t xml:space="preserve">Communication Threshold </t>
  </si>
  <si>
    <t>Early Communication Interval</t>
  </si>
  <si>
    <t xml:space="preserve">Late Communication Interval </t>
  </si>
  <si>
    <t>TIMEOUT</t>
  </si>
  <si>
    <t>9x9</t>
  </si>
  <si>
    <t>16x16</t>
  </si>
  <si>
    <t>25x25</t>
  </si>
  <si>
    <t>Parameter</t>
  </si>
  <si>
    <t>Time (s)</t>
  </si>
  <si>
    <t>Size</t>
  </si>
  <si>
    <t xml:space="preserve">xi (Local Pheromone Update) </t>
  </si>
  <si>
    <t xml:space="preserve"> </t>
  </si>
  <si>
    <t>Algorithm</t>
  </si>
  <si>
    <t>CAS</t>
  </si>
  <si>
    <t>MCAS</t>
  </si>
  <si>
    <t>MAIN EXPERIMENTATION</t>
  </si>
  <si>
    <t>Average</t>
  </si>
  <si>
    <t>Best Run</t>
  </si>
  <si>
    <t>Worst Run</t>
  </si>
  <si>
    <t>Average of Runs</t>
  </si>
  <si>
    <t>Run</t>
  </si>
  <si>
    <t>INDICATORS</t>
  </si>
  <si>
    <t>BEST RUN</t>
  </si>
  <si>
    <t>WORST RUN</t>
  </si>
  <si>
    <t>MCA</t>
  </si>
  <si>
    <t>CA</t>
  </si>
  <si>
    <t>25X25</t>
  </si>
  <si>
    <t>16X16</t>
  </si>
  <si>
    <t xml:space="preserve">                     </t>
  </si>
  <si>
    <t>Number of threads</t>
  </si>
  <si>
    <t>idle_mean</t>
  </si>
  <si>
    <t>*this  specific experiment was conducted using the best configuration parameter values</t>
  </si>
  <si>
    <t>IDLE TIME (PER THREAD)</t>
  </si>
  <si>
    <t>*tested on hardest 25x25 puzzle instance (inst45_97.txt)</t>
  </si>
  <si>
    <t>COMMUNICATION</t>
  </si>
  <si>
    <t>Communication</t>
  </si>
  <si>
    <t>Enabled</t>
  </si>
  <si>
    <t>Disabled</t>
  </si>
  <si>
    <t>Puzzle Density</t>
  </si>
  <si>
    <t>PUZZLE DENSITY</t>
  </si>
  <si>
    <t>*tested on 25x25 puzzle dataset that Lloyd &amp; Amos (2019) used in their experimentation runs</t>
  </si>
  <si>
    <t>*120 second timeout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</si>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</sst>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0" fillId="0" borderId="6" xfId="0" applyBorder="1" applyAlignment="1">
      <alignment horizontal="right"/>
    </xf>
    <xf numFmtId="0" fontId="1" fillId="0" borderId="4" xfId="0" applyFont="1" applyBorder="1"/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0" fillId="0" borderId="8" xfId="0" applyBorder="1" applyAlignment="1">
      <alignment horizontal="center" vertical="center"/>
    </xf>
    <xf numFmtId="0" fontId="0" fillId="0" borderId="1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right"/>
    </xf>
    <xf numFmtId="0" fontId="1" fillId="0" borderId="1" xfId="0" applyFont="1" applyBorder="1"/>
    <xf numFmtId="0" fontId="0" fillId="3" borderId="14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0" borderId="8" xfId="0" applyBorder="1"/>
    <xf numFmtId="0" fontId="0" fillId="0" borderId="11" xfId="0" applyBorder="1"/>
    <xf numFmtId="0" fontId="0" fillId="0" borderId="9" xfId="0" applyBorder="1"/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5" xfId="0" applyFont="1" applyBorder="1"/>
    <xf numFmtId="0" fontId="1" fillId="0" borderId="10" xfId="0" applyFont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8" borderId="14" xfId="0" applyFill="1" applyBorder="1"/>
    <xf numFmtId="0" fontId="0" fillId="8" borderId="0" xfId="0" applyFill="1"/>
    <xf numFmtId="0" fontId="0" fillId="8" borderId="4" xfId="0" applyFill="1" applyBorder="1"/>
    <xf numFmtId="0" fontId="0" fillId="7" borderId="14" xfId="0" applyFill="1" applyBorder="1"/>
    <xf numFmtId="0" fontId="0" fillId="7" borderId="0" xfId="0" applyFill="1"/>
    <xf numFmtId="0" fontId="0" fillId="7" borderId="4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7" borderId="3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14" xfId="0" applyFill="1" applyBorder="1"/>
    <xf numFmtId="0" fontId="0" fillId="5" borderId="0" xfId="0" applyFill="1"/>
    <xf numFmtId="0" fontId="0" fillId="5" borderId="4" xfId="0" applyFill="1" applyBorder="1"/>
    <xf numFmtId="0" fontId="1" fillId="0" borderId="9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5" borderId="9" xfId="0" applyFont="1" applyFill="1" applyBorder="1" applyAlignment="1">
      <alignment horizontal="center" vertical="center"/>
    </xf>
    <xf numFmtId="0" fontId="1" fillId="5" borderId="14" xfId="0" applyFont="1" applyFill="1" applyBorder="1"/>
    <xf numFmtId="0" fontId="1" fillId="5" borderId="0" xfId="0" applyFont="1" applyFill="1"/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0" fillId="0" borderId="0" xfId="0" applyAlignment="1">
      <alignment horizontal="center" vertical="center" wrapText="1"/>
    </xf>
    <xf numFmtId="0" fontId="2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/>
    <xf numFmtId="0" fontId="1" fillId="9" borderId="1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5" borderId="15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C06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6817-D2AB-40E1-800C-5A1037FE3B51}">
  <dimension ref="A1:R164"/>
  <sheetViews>
    <sheetView tabSelected="1" topLeftCell="A132" zoomScale="85" zoomScaleNormal="85" workbookViewId="0">
      <selection activeCell="K154" sqref="K154"/>
    </sheetView>
  </sheetViews>
  <sheetFormatPr defaultRowHeight="15" x14ac:dyDescent="0.25"/>
  <cols>
    <col min="1" max="1" width="26" customWidth="1"/>
    <col min="2" max="13" width="13.140625" customWidth="1"/>
    <col min="14" max="16" width="10.7109375" customWidth="1"/>
  </cols>
  <sheetData>
    <row r="1" spans="1:18" x14ac:dyDescent="0.25">
      <c r="A1" s="81" t="s">
        <v>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3"/>
    </row>
    <row r="2" spans="1:18" x14ac:dyDescent="0.25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1:18" x14ac:dyDescent="0.25">
      <c r="A3" s="87" t="s">
        <v>23</v>
      </c>
      <c r="B3" s="89" t="s">
        <v>20</v>
      </c>
      <c r="C3" s="90"/>
      <c r="D3" s="90"/>
      <c r="E3" s="91"/>
      <c r="F3" s="95" t="s">
        <v>21</v>
      </c>
      <c r="G3" s="96"/>
      <c r="H3" s="96"/>
      <c r="I3" s="97"/>
      <c r="J3" s="95" t="s">
        <v>22</v>
      </c>
      <c r="K3" s="96"/>
      <c r="L3" s="96"/>
      <c r="M3" s="97"/>
    </row>
    <row r="4" spans="1:18" ht="9" customHeight="1" x14ac:dyDescent="0.25">
      <c r="A4" s="88"/>
      <c r="B4" s="92"/>
      <c r="C4" s="93"/>
      <c r="D4" s="93"/>
      <c r="E4" s="94"/>
      <c r="F4" s="98"/>
      <c r="G4" s="99"/>
      <c r="H4" s="99"/>
      <c r="I4" s="100"/>
      <c r="J4" s="98"/>
      <c r="K4" s="99"/>
      <c r="L4" s="99"/>
      <c r="M4" s="100"/>
    </row>
    <row r="5" spans="1:18" x14ac:dyDescent="0.25">
      <c r="A5" s="9" t="s">
        <v>10</v>
      </c>
      <c r="B5" s="6" t="s">
        <v>2</v>
      </c>
      <c r="C5" s="6" t="s">
        <v>3</v>
      </c>
      <c r="D5" s="6" t="s">
        <v>4</v>
      </c>
      <c r="E5" s="8" t="s">
        <v>5</v>
      </c>
      <c r="F5" s="4" t="s">
        <v>2</v>
      </c>
      <c r="G5" s="4" t="s">
        <v>3</v>
      </c>
      <c r="H5" s="4" t="s">
        <v>4</v>
      </c>
      <c r="I5" s="5" t="s">
        <v>5</v>
      </c>
      <c r="J5" s="4" t="s">
        <v>2</v>
      </c>
      <c r="K5" s="4" t="s">
        <v>3</v>
      </c>
      <c r="L5" s="4" t="s">
        <v>4</v>
      </c>
      <c r="M5" s="5" t="s">
        <v>5</v>
      </c>
    </row>
    <row r="6" spans="1:18" x14ac:dyDescent="0.25">
      <c r="A6" s="10">
        <v>1.5</v>
      </c>
      <c r="B6" s="18">
        <v>100</v>
      </c>
      <c r="C6">
        <v>0.13739999999999999</v>
      </c>
      <c r="D6">
        <v>0.45479999999999998</v>
      </c>
      <c r="E6" s="1">
        <v>67.540000000000006</v>
      </c>
      <c r="F6" s="18">
        <v>96</v>
      </c>
      <c r="G6">
        <v>0.19239999999999999</v>
      </c>
      <c r="H6">
        <v>1.1317200000000001</v>
      </c>
      <c r="I6" s="1">
        <v>34.89</v>
      </c>
      <c r="J6" s="18">
        <v>39</v>
      </c>
      <c r="K6">
        <v>15.2828</v>
      </c>
      <c r="L6">
        <v>18.965959999999999</v>
      </c>
      <c r="M6" s="1">
        <v>466.46</v>
      </c>
    </row>
    <row r="7" spans="1:18" x14ac:dyDescent="0.25">
      <c r="A7" s="11">
        <v>3.625</v>
      </c>
      <c r="B7" s="18">
        <v>100</v>
      </c>
      <c r="C7">
        <v>7.2940000000000005E-2</v>
      </c>
      <c r="D7">
        <v>7.0470000000000005E-2</v>
      </c>
      <c r="E7" s="1">
        <v>80.36</v>
      </c>
      <c r="F7" s="18">
        <v>98</v>
      </c>
      <c r="G7">
        <v>0.58428999999999998</v>
      </c>
      <c r="H7">
        <v>2.3524699999999998</v>
      </c>
      <c r="I7" s="1">
        <v>101.89</v>
      </c>
      <c r="J7" s="18">
        <v>46</v>
      </c>
      <c r="K7">
        <v>25.34374</v>
      </c>
      <c r="L7">
        <v>31.425850000000001</v>
      </c>
      <c r="M7" s="1">
        <v>1356.83</v>
      </c>
    </row>
    <row r="8" spans="1:18" x14ac:dyDescent="0.25">
      <c r="A8" s="11">
        <v>5.75</v>
      </c>
      <c r="B8" s="18">
        <v>100</v>
      </c>
      <c r="C8">
        <v>4.6640000000000001E-2</v>
      </c>
      <c r="D8">
        <v>7.0279999999999995E-2</v>
      </c>
      <c r="E8" s="1">
        <v>67.099999999999994</v>
      </c>
      <c r="F8" s="18">
        <v>99</v>
      </c>
      <c r="G8">
        <v>1.3003400000000001</v>
      </c>
      <c r="H8">
        <v>4.06508</v>
      </c>
      <c r="I8" s="1">
        <v>227.39</v>
      </c>
      <c r="J8" s="26">
        <v>53</v>
      </c>
      <c r="K8" s="31">
        <v>24.75254</v>
      </c>
      <c r="L8" s="31">
        <v>30.808879999999998</v>
      </c>
      <c r="M8" s="27">
        <v>1154.7</v>
      </c>
    </row>
    <row r="9" spans="1:18" x14ac:dyDescent="0.25">
      <c r="A9" s="11">
        <v>7.875</v>
      </c>
      <c r="B9" s="18">
        <v>100</v>
      </c>
      <c r="C9">
        <v>5.1929999999999997E-2</v>
      </c>
      <c r="D9">
        <v>4.4979999999999999E-2</v>
      </c>
      <c r="E9" s="1">
        <v>78.44</v>
      </c>
      <c r="F9">
        <v>98</v>
      </c>
      <c r="G9">
        <v>0.70357000000000003</v>
      </c>
      <c r="H9">
        <v>2.2325900000000001</v>
      </c>
      <c r="I9">
        <v>66.040000000000006</v>
      </c>
      <c r="J9" s="18">
        <v>39</v>
      </c>
      <c r="K9">
        <v>30.817209999999999</v>
      </c>
      <c r="L9">
        <v>32.876489999999997</v>
      </c>
      <c r="M9" s="1">
        <v>895.27</v>
      </c>
    </row>
    <row r="10" spans="1:18" x14ac:dyDescent="0.25">
      <c r="A10" s="12">
        <v>10</v>
      </c>
      <c r="B10" s="19">
        <v>100</v>
      </c>
      <c r="C10" s="2">
        <v>4.2419999999999999E-2</v>
      </c>
      <c r="D10" s="2">
        <v>3.5999999999999997E-2</v>
      </c>
      <c r="E10" s="3">
        <v>68.75</v>
      </c>
      <c r="F10">
        <v>96</v>
      </c>
      <c r="G10">
        <v>0.43203999999999998</v>
      </c>
      <c r="H10">
        <v>1.62154</v>
      </c>
      <c r="I10">
        <v>59.38</v>
      </c>
      <c r="J10" s="19">
        <v>37</v>
      </c>
      <c r="K10" s="2">
        <v>35.764220000000002</v>
      </c>
      <c r="L10" s="2">
        <v>34.217019999999998</v>
      </c>
      <c r="M10" s="3">
        <v>807.41</v>
      </c>
    </row>
    <row r="11" spans="1:18" x14ac:dyDescent="0.25">
      <c r="A11" s="9" t="s">
        <v>11</v>
      </c>
      <c r="B11" s="4" t="s">
        <v>2</v>
      </c>
      <c r="C11" s="4" t="s">
        <v>3</v>
      </c>
      <c r="D11" s="4" t="s">
        <v>4</v>
      </c>
      <c r="E11" s="5" t="s">
        <v>5</v>
      </c>
      <c r="F11" s="4" t="s">
        <v>2</v>
      </c>
      <c r="G11" s="4" t="s">
        <v>3</v>
      </c>
      <c r="H11" s="4" t="s">
        <v>4</v>
      </c>
      <c r="I11" s="5" t="s">
        <v>5</v>
      </c>
      <c r="J11" s="25" t="s">
        <v>2</v>
      </c>
      <c r="K11" s="4" t="s">
        <v>3</v>
      </c>
      <c r="L11" s="4" t="s">
        <v>4</v>
      </c>
      <c r="M11" s="5" t="s">
        <v>5</v>
      </c>
      <c r="O11" s="6"/>
      <c r="P11" s="6"/>
      <c r="Q11" s="6"/>
      <c r="R11" s="6"/>
    </row>
    <row r="12" spans="1:18" x14ac:dyDescent="0.25">
      <c r="A12" s="11">
        <v>0.1</v>
      </c>
      <c r="B12" s="18">
        <v>100</v>
      </c>
      <c r="C12">
        <v>5.4489999999999997E-2</v>
      </c>
      <c r="D12">
        <v>5.7599999999999998E-2</v>
      </c>
      <c r="E12" s="1">
        <v>60.46</v>
      </c>
      <c r="F12" s="18">
        <v>90</v>
      </c>
      <c r="G12">
        <v>0.43518000000000001</v>
      </c>
      <c r="H12">
        <v>1.7658400000000001</v>
      </c>
      <c r="I12" s="1">
        <v>53.47</v>
      </c>
      <c r="J12" s="18">
        <v>32</v>
      </c>
      <c r="K12">
        <v>21.893470000000001</v>
      </c>
      <c r="L12">
        <v>29.134620000000002</v>
      </c>
      <c r="M12" s="1">
        <v>876.91</v>
      </c>
    </row>
    <row r="13" spans="1:18" x14ac:dyDescent="0.25">
      <c r="A13" s="10">
        <v>0.01</v>
      </c>
      <c r="B13" s="18">
        <v>100</v>
      </c>
      <c r="C13">
        <v>0.13739999999999999</v>
      </c>
      <c r="D13">
        <v>0.45479999999999998</v>
      </c>
      <c r="E13" s="1">
        <v>67.540000000000006</v>
      </c>
      <c r="F13" s="18">
        <v>96</v>
      </c>
      <c r="G13">
        <v>0.19239999999999999</v>
      </c>
      <c r="H13">
        <v>1.1317200000000001</v>
      </c>
      <c r="I13" s="1">
        <v>34.89</v>
      </c>
      <c r="J13" s="26">
        <v>39</v>
      </c>
      <c r="K13" s="31">
        <v>15.2828</v>
      </c>
      <c r="L13" s="31">
        <v>18.965959999999999</v>
      </c>
      <c r="M13" s="27">
        <v>466.46</v>
      </c>
    </row>
    <row r="14" spans="1:18" x14ac:dyDescent="0.25">
      <c r="A14" s="11">
        <v>1E-3</v>
      </c>
      <c r="B14" s="18">
        <v>100</v>
      </c>
      <c r="C14">
        <v>4.19E-2</v>
      </c>
      <c r="D14">
        <v>3.8399999999999997E-2</v>
      </c>
      <c r="E14" s="1">
        <v>59.79</v>
      </c>
      <c r="F14" s="18">
        <v>95</v>
      </c>
      <c r="G14">
        <v>0.23272999999999999</v>
      </c>
      <c r="H14">
        <v>1.0321</v>
      </c>
      <c r="I14" s="1">
        <v>30.2</v>
      </c>
      <c r="J14" s="18">
        <v>31</v>
      </c>
      <c r="K14">
        <v>33.482100000000003</v>
      </c>
      <c r="L14">
        <v>31.906479999999998</v>
      </c>
      <c r="M14" s="1">
        <v>912.58</v>
      </c>
    </row>
    <row r="15" spans="1:18" x14ac:dyDescent="0.25">
      <c r="A15" s="11">
        <v>1E-4</v>
      </c>
      <c r="B15" s="18">
        <v>100</v>
      </c>
      <c r="C15">
        <v>5.389E-2</v>
      </c>
      <c r="D15">
        <v>5.7119999999999997E-2</v>
      </c>
      <c r="E15" s="1">
        <v>69.14</v>
      </c>
      <c r="F15" s="18">
        <v>94</v>
      </c>
      <c r="G15">
        <v>0.33359</v>
      </c>
      <c r="H15">
        <v>1.9646300000000001</v>
      </c>
      <c r="I15" s="1">
        <v>48.95</v>
      </c>
      <c r="J15" s="18">
        <v>34</v>
      </c>
      <c r="K15">
        <v>26.709579999999999</v>
      </c>
      <c r="L15">
        <v>30.44725</v>
      </c>
      <c r="M15" s="1">
        <v>1198.72</v>
      </c>
    </row>
    <row r="16" spans="1:18" x14ac:dyDescent="0.25">
      <c r="A16" s="12">
        <v>1.0000000000000001E-5</v>
      </c>
      <c r="B16" s="19">
        <v>100</v>
      </c>
      <c r="C16" s="2">
        <v>5.3409999999999999E-2</v>
      </c>
      <c r="D16" s="2">
        <v>4.1680000000000002E-2</v>
      </c>
      <c r="E16" s="3">
        <v>74.290000000000006</v>
      </c>
      <c r="F16" s="19">
        <v>88</v>
      </c>
      <c r="G16" s="2">
        <v>0.83335000000000004</v>
      </c>
      <c r="H16" s="2">
        <v>3.4824000000000002</v>
      </c>
      <c r="I16" s="3">
        <v>94.8</v>
      </c>
      <c r="J16" s="19">
        <v>35</v>
      </c>
      <c r="K16">
        <v>24.91863</v>
      </c>
      <c r="L16">
        <v>32.118789999999997</v>
      </c>
      <c r="M16" s="3">
        <v>1287.3399999999999</v>
      </c>
    </row>
    <row r="17" spans="1:18" x14ac:dyDescent="0.25">
      <c r="A17" s="13" t="s">
        <v>12</v>
      </c>
      <c r="B17" s="4" t="s">
        <v>2</v>
      </c>
      <c r="C17" s="4" t="s">
        <v>3</v>
      </c>
      <c r="D17" s="4" t="s">
        <v>4</v>
      </c>
      <c r="E17" s="5" t="s">
        <v>5</v>
      </c>
      <c r="F17" s="4" t="s">
        <v>2</v>
      </c>
      <c r="G17" s="4" t="s">
        <v>3</v>
      </c>
      <c r="H17" s="4" t="s">
        <v>4</v>
      </c>
      <c r="I17" s="5" t="s">
        <v>5</v>
      </c>
      <c r="J17" s="25" t="s">
        <v>2</v>
      </c>
      <c r="K17" s="4" t="s">
        <v>3</v>
      </c>
      <c r="L17" s="4" t="s">
        <v>4</v>
      </c>
      <c r="M17" s="5" t="s">
        <v>5</v>
      </c>
      <c r="O17" s="6"/>
      <c r="P17" s="6"/>
      <c r="Q17" s="6"/>
      <c r="R17" s="6"/>
    </row>
    <row r="18" spans="1:18" x14ac:dyDescent="0.25">
      <c r="A18" s="11">
        <v>25</v>
      </c>
      <c r="B18" s="18">
        <v>100</v>
      </c>
      <c r="C18">
        <v>8.8859999999999995E-2</v>
      </c>
      <c r="D18">
        <v>0.10459</v>
      </c>
      <c r="E18" s="1">
        <v>61.75</v>
      </c>
      <c r="F18">
        <v>97</v>
      </c>
      <c r="G18">
        <v>0.43319999999999997</v>
      </c>
      <c r="H18">
        <v>1.7699800000000001</v>
      </c>
      <c r="I18">
        <v>54.31</v>
      </c>
      <c r="J18" s="26">
        <v>46</v>
      </c>
      <c r="K18" s="31">
        <v>22.880240000000001</v>
      </c>
      <c r="L18" s="31">
        <v>30.198820000000001</v>
      </c>
      <c r="M18" s="27">
        <v>704.57</v>
      </c>
    </row>
    <row r="19" spans="1:18" x14ac:dyDescent="0.25">
      <c r="A19" s="10">
        <v>50</v>
      </c>
      <c r="B19" s="18">
        <v>100</v>
      </c>
      <c r="C19">
        <v>0.13739999999999999</v>
      </c>
      <c r="D19">
        <v>0.45479999999999998</v>
      </c>
      <c r="E19" s="1">
        <v>67.540000000000006</v>
      </c>
      <c r="F19" s="18">
        <v>96</v>
      </c>
      <c r="G19">
        <v>0.19239999999999999</v>
      </c>
      <c r="H19">
        <v>1.1317200000000001</v>
      </c>
      <c r="I19" s="1">
        <v>34.89</v>
      </c>
      <c r="J19" s="18">
        <v>39</v>
      </c>
      <c r="K19">
        <v>15.2828</v>
      </c>
      <c r="L19">
        <v>18.965959999999999</v>
      </c>
      <c r="M19" s="1">
        <v>466.46</v>
      </c>
    </row>
    <row r="20" spans="1:18" x14ac:dyDescent="0.25">
      <c r="A20" s="11">
        <v>75</v>
      </c>
      <c r="B20" s="18">
        <v>100</v>
      </c>
      <c r="C20">
        <v>9.7420000000000007E-2</v>
      </c>
      <c r="D20">
        <v>0.39821000000000001</v>
      </c>
      <c r="E20" s="1">
        <v>62.98</v>
      </c>
      <c r="F20" s="18">
        <v>95</v>
      </c>
      <c r="G20">
        <v>0.55149000000000004</v>
      </c>
      <c r="H20">
        <v>2.78112</v>
      </c>
      <c r="I20" s="1">
        <v>94.75</v>
      </c>
      <c r="J20" s="18">
        <v>32</v>
      </c>
      <c r="K20">
        <v>22.423010000000001</v>
      </c>
      <c r="L20">
        <v>32.120510000000003</v>
      </c>
      <c r="M20" s="1">
        <v>751.47</v>
      </c>
    </row>
    <row r="21" spans="1:18" x14ac:dyDescent="0.25">
      <c r="A21" s="11">
        <v>100</v>
      </c>
      <c r="B21" s="18">
        <v>100</v>
      </c>
      <c r="C21">
        <v>5.4620000000000002E-2</v>
      </c>
      <c r="D21">
        <v>5.8880000000000002E-2</v>
      </c>
      <c r="E21" s="1">
        <v>70.45</v>
      </c>
      <c r="F21">
        <v>93</v>
      </c>
      <c r="G21">
        <v>0.36985000000000001</v>
      </c>
      <c r="H21">
        <v>1.4381200000000001</v>
      </c>
      <c r="I21">
        <v>77.260000000000005</v>
      </c>
      <c r="J21" s="18">
        <v>42</v>
      </c>
      <c r="K21">
        <v>24.630310000000001</v>
      </c>
      <c r="L21">
        <v>34.806660000000001</v>
      </c>
      <c r="M21" s="1">
        <v>924.98</v>
      </c>
    </row>
    <row r="22" spans="1:18" x14ac:dyDescent="0.25">
      <c r="A22" s="12">
        <v>125</v>
      </c>
      <c r="B22" s="20">
        <v>100</v>
      </c>
      <c r="C22" s="2">
        <v>5.6860000000000001E-2</v>
      </c>
      <c r="D22" s="2">
        <v>5.6619999999999997E-2</v>
      </c>
      <c r="E22" s="3">
        <v>76.150000000000006</v>
      </c>
      <c r="F22">
        <v>93</v>
      </c>
      <c r="G22">
        <v>0.33754000000000001</v>
      </c>
      <c r="H22">
        <v>2.00332</v>
      </c>
      <c r="I22">
        <v>66.87</v>
      </c>
      <c r="J22" s="20">
        <v>30</v>
      </c>
      <c r="K22" s="2">
        <v>18.306010000000001</v>
      </c>
      <c r="L22" s="2">
        <v>20.542570000000001</v>
      </c>
      <c r="M22" s="3">
        <v>553.6</v>
      </c>
      <c r="O22" s="24"/>
    </row>
    <row r="23" spans="1:18" x14ac:dyDescent="0.25">
      <c r="A23" s="9" t="s">
        <v>13</v>
      </c>
      <c r="B23" s="4" t="s">
        <v>2</v>
      </c>
      <c r="C23" s="4" t="s">
        <v>3</v>
      </c>
      <c r="D23" s="4" t="s">
        <v>4</v>
      </c>
      <c r="E23" s="5" t="s">
        <v>5</v>
      </c>
      <c r="F23" s="4" t="s">
        <v>2</v>
      </c>
      <c r="G23" s="4" t="s">
        <v>3</v>
      </c>
      <c r="H23" s="4" t="s">
        <v>4</v>
      </c>
      <c r="I23" s="5" t="s">
        <v>5</v>
      </c>
      <c r="J23" s="25" t="s">
        <v>2</v>
      </c>
      <c r="K23" s="4" t="s">
        <v>3</v>
      </c>
      <c r="L23" s="4" t="s">
        <v>4</v>
      </c>
      <c r="M23" s="5" t="s">
        <v>5</v>
      </c>
      <c r="O23" s="6"/>
      <c r="P23" s="6"/>
      <c r="Q23" s="6"/>
      <c r="R23" s="6"/>
    </row>
    <row r="24" spans="1:18" x14ac:dyDescent="0.25">
      <c r="A24" s="11">
        <v>0.71</v>
      </c>
      <c r="B24" s="18">
        <v>100</v>
      </c>
      <c r="C24">
        <v>4.2639999999999997E-2</v>
      </c>
      <c r="D24">
        <v>4.0579999999999998E-2</v>
      </c>
      <c r="E24" s="1">
        <v>63.34</v>
      </c>
      <c r="F24" s="18">
        <v>91</v>
      </c>
      <c r="G24">
        <v>0.46526000000000001</v>
      </c>
      <c r="H24">
        <v>2.51566</v>
      </c>
      <c r="I24" s="1">
        <v>101.71</v>
      </c>
      <c r="J24" s="18">
        <v>33</v>
      </c>
      <c r="K24">
        <v>17.764559999999999</v>
      </c>
      <c r="L24">
        <v>27.090150000000001</v>
      </c>
      <c r="M24" s="1">
        <v>867.82</v>
      </c>
    </row>
    <row r="25" spans="1:18" x14ac:dyDescent="0.25">
      <c r="A25" s="11">
        <v>0.80500000000000005</v>
      </c>
      <c r="B25" s="18">
        <v>100</v>
      </c>
      <c r="C25">
        <v>5.3600000000000002E-2</v>
      </c>
      <c r="D25">
        <v>4.4729999999999999E-2</v>
      </c>
      <c r="E25" s="1">
        <v>76.239999999999995</v>
      </c>
      <c r="F25" s="18">
        <v>98</v>
      </c>
      <c r="G25">
        <v>0.24041000000000001</v>
      </c>
      <c r="H25">
        <v>1.4808300000000001</v>
      </c>
      <c r="I25" s="1">
        <v>59.53</v>
      </c>
      <c r="J25" s="18">
        <v>25</v>
      </c>
      <c r="K25">
        <v>11.840730000000001</v>
      </c>
      <c r="L25">
        <v>18.538720000000001</v>
      </c>
      <c r="M25" s="1">
        <v>529.32000000000005</v>
      </c>
    </row>
    <row r="26" spans="1:18" x14ac:dyDescent="0.25">
      <c r="A26" s="11">
        <v>0.9</v>
      </c>
      <c r="B26" s="18">
        <v>100</v>
      </c>
      <c r="C26">
        <v>6.2109999999999999E-2</v>
      </c>
      <c r="D26">
        <v>6.3490000000000005E-2</v>
      </c>
      <c r="E26" s="1">
        <v>78</v>
      </c>
      <c r="F26" s="18">
        <v>91</v>
      </c>
      <c r="G26">
        <v>0.32136999999999999</v>
      </c>
      <c r="H26">
        <v>1.5187200000000001</v>
      </c>
      <c r="I26" s="1">
        <v>45.55</v>
      </c>
      <c r="J26" s="18">
        <v>31</v>
      </c>
      <c r="K26">
        <v>23.548200000000001</v>
      </c>
      <c r="L26">
        <v>17.908439999999999</v>
      </c>
      <c r="M26" s="1">
        <v>790.19</v>
      </c>
    </row>
    <row r="27" spans="1:18" x14ac:dyDescent="0.25">
      <c r="A27" s="10">
        <v>0.995</v>
      </c>
      <c r="B27" s="18">
        <v>100</v>
      </c>
      <c r="C27">
        <v>0.13739999999999999</v>
      </c>
      <c r="D27">
        <v>0.45479999999999998</v>
      </c>
      <c r="E27" s="1">
        <v>67.540000000000006</v>
      </c>
      <c r="F27" s="18">
        <v>96</v>
      </c>
      <c r="G27">
        <v>0.19239999999999999</v>
      </c>
      <c r="H27">
        <v>1.1317200000000001</v>
      </c>
      <c r="I27" s="1">
        <v>34.89</v>
      </c>
      <c r="J27" s="26">
        <v>39</v>
      </c>
      <c r="K27" s="31">
        <v>15.2828</v>
      </c>
      <c r="L27" s="31">
        <v>18.965959999999999</v>
      </c>
      <c r="M27" s="27">
        <v>466.46</v>
      </c>
    </row>
    <row r="28" spans="1:18" x14ac:dyDescent="0.25">
      <c r="A28" s="12">
        <v>0.999</v>
      </c>
      <c r="B28" s="19">
        <v>100</v>
      </c>
      <c r="C28" s="2">
        <v>0.222</v>
      </c>
      <c r="D28" s="2">
        <v>0.26563999999999999</v>
      </c>
      <c r="E28" s="3">
        <v>61.16</v>
      </c>
      <c r="F28" s="19">
        <v>96</v>
      </c>
      <c r="G28" s="2">
        <v>0.87138000000000004</v>
      </c>
      <c r="H28" s="2">
        <v>2.6094300000000001</v>
      </c>
      <c r="I28" s="3">
        <v>73.59</v>
      </c>
      <c r="J28" s="19">
        <v>32</v>
      </c>
      <c r="K28" s="2">
        <v>22.73582</v>
      </c>
      <c r="L28" s="2">
        <v>29.224789999999999</v>
      </c>
      <c r="M28" s="3">
        <v>758.22</v>
      </c>
    </row>
    <row r="32" spans="1:18" x14ac:dyDescent="0.25">
      <c r="A32" s="101" t="s">
        <v>0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3"/>
    </row>
    <row r="33" spans="1:15" x14ac:dyDescent="0.25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6"/>
    </row>
    <row r="34" spans="1:15" x14ac:dyDescent="0.25">
      <c r="A34" s="87" t="s">
        <v>23</v>
      </c>
      <c r="B34" s="89" t="s">
        <v>20</v>
      </c>
      <c r="C34" s="90"/>
      <c r="D34" s="90"/>
      <c r="E34" s="91"/>
      <c r="F34" s="95" t="s">
        <v>21</v>
      </c>
      <c r="G34" s="96"/>
      <c r="H34" s="96"/>
      <c r="I34" s="97"/>
      <c r="J34" s="95" t="s">
        <v>22</v>
      </c>
      <c r="K34" s="96"/>
      <c r="L34" s="96"/>
      <c r="M34" s="97"/>
    </row>
    <row r="35" spans="1:15" x14ac:dyDescent="0.25">
      <c r="A35" s="88"/>
      <c r="B35" s="92"/>
      <c r="C35" s="93"/>
      <c r="D35" s="93"/>
      <c r="E35" s="94"/>
      <c r="F35" s="98"/>
      <c r="G35" s="99"/>
      <c r="H35" s="99"/>
      <c r="I35" s="100"/>
      <c r="J35" s="98"/>
      <c r="K35" s="99"/>
      <c r="L35" s="99"/>
      <c r="M35" s="100"/>
    </row>
    <row r="36" spans="1:15" x14ac:dyDescent="0.25">
      <c r="A36" s="9" t="s">
        <v>1</v>
      </c>
      <c r="B36" s="4" t="s">
        <v>2</v>
      </c>
      <c r="C36" s="4" t="s">
        <v>3</v>
      </c>
      <c r="D36" s="4" t="s">
        <v>4</v>
      </c>
      <c r="E36" s="5" t="s">
        <v>5</v>
      </c>
      <c r="F36" s="4" t="s">
        <v>2</v>
      </c>
      <c r="G36" s="4" t="s">
        <v>3</v>
      </c>
      <c r="H36" s="4" t="s">
        <v>4</v>
      </c>
      <c r="I36" s="5" t="s">
        <v>5</v>
      </c>
      <c r="J36" s="25" t="s">
        <v>2</v>
      </c>
      <c r="K36" s="4" t="s">
        <v>3</v>
      </c>
      <c r="L36" s="4" t="s">
        <v>4</v>
      </c>
      <c r="M36" s="5" t="s">
        <v>5</v>
      </c>
    </row>
    <row r="37" spans="1:15" x14ac:dyDescent="0.25">
      <c r="A37" s="11">
        <v>5</v>
      </c>
      <c r="B37" s="18">
        <v>100</v>
      </c>
      <c r="C37">
        <v>4.546E-2</v>
      </c>
      <c r="D37">
        <v>5.0950000000000002E-2</v>
      </c>
      <c r="E37" s="1">
        <v>103.55</v>
      </c>
      <c r="F37">
        <v>95</v>
      </c>
      <c r="G37">
        <v>0.39200000000000002</v>
      </c>
      <c r="H37">
        <v>1.8101700000000001</v>
      </c>
      <c r="I37">
        <v>78.739999999999995</v>
      </c>
      <c r="J37" s="18">
        <v>38</v>
      </c>
      <c r="K37">
        <v>30.82067</v>
      </c>
      <c r="L37">
        <v>36.115200000000002</v>
      </c>
      <c r="M37" s="1">
        <v>2595.9499999999998</v>
      </c>
    </row>
    <row r="38" spans="1:15" x14ac:dyDescent="0.25">
      <c r="A38" s="10">
        <v>10</v>
      </c>
      <c r="B38" s="18">
        <v>100</v>
      </c>
      <c r="C38">
        <v>0.13739999999999999</v>
      </c>
      <c r="D38">
        <v>0.45479999999999998</v>
      </c>
      <c r="E38" s="1">
        <v>67.540000000000006</v>
      </c>
      <c r="F38" s="18">
        <v>96</v>
      </c>
      <c r="G38">
        <v>0.19239999999999999</v>
      </c>
      <c r="H38">
        <v>1.1317200000000001</v>
      </c>
      <c r="I38" s="1">
        <v>34.89</v>
      </c>
      <c r="J38" s="18">
        <v>39</v>
      </c>
      <c r="K38">
        <v>15.2828</v>
      </c>
      <c r="L38">
        <v>18.965959999999999</v>
      </c>
      <c r="M38" s="1">
        <v>466.46</v>
      </c>
    </row>
    <row r="39" spans="1:15" x14ac:dyDescent="0.25">
      <c r="A39" s="11">
        <v>15</v>
      </c>
      <c r="B39" s="18">
        <v>100</v>
      </c>
      <c r="C39">
        <v>5.7320000000000003E-2</v>
      </c>
      <c r="D39">
        <v>5.5640000000000002E-2</v>
      </c>
      <c r="E39" s="1">
        <v>55.27</v>
      </c>
      <c r="F39">
        <v>91</v>
      </c>
      <c r="G39">
        <v>0.73816000000000004</v>
      </c>
      <c r="H39">
        <v>2.9768699999999999</v>
      </c>
      <c r="I39">
        <v>95.52</v>
      </c>
      <c r="J39" s="18">
        <v>36</v>
      </c>
      <c r="K39">
        <v>20.489619999999999</v>
      </c>
      <c r="L39">
        <v>26.17193</v>
      </c>
      <c r="M39" s="1">
        <v>377.78</v>
      </c>
    </row>
    <row r="40" spans="1:15" x14ac:dyDescent="0.25">
      <c r="A40" s="11">
        <v>20</v>
      </c>
      <c r="B40" s="18">
        <v>100</v>
      </c>
      <c r="C40">
        <v>7.6780000000000001E-2</v>
      </c>
      <c r="D40">
        <v>8.1939999999999999E-2</v>
      </c>
      <c r="E40" s="1">
        <v>48.59</v>
      </c>
      <c r="F40">
        <v>96</v>
      </c>
      <c r="G40">
        <v>0.44055</v>
      </c>
      <c r="H40">
        <v>2.5119199999999999</v>
      </c>
      <c r="I40">
        <v>50.65</v>
      </c>
      <c r="J40" s="18">
        <v>32</v>
      </c>
      <c r="K40">
        <v>13.345649999999999</v>
      </c>
      <c r="L40">
        <v>21.228840000000002</v>
      </c>
      <c r="M40" s="1">
        <v>311.02999999999997</v>
      </c>
    </row>
    <row r="41" spans="1:15" x14ac:dyDescent="0.25">
      <c r="A41" s="12">
        <v>25</v>
      </c>
      <c r="B41" s="19">
        <v>100</v>
      </c>
      <c r="C41" s="2">
        <v>0.10929</v>
      </c>
      <c r="D41" s="2">
        <v>0.11090999999999999</v>
      </c>
      <c r="E41" s="3">
        <v>55.46</v>
      </c>
      <c r="F41" s="19">
        <v>96</v>
      </c>
      <c r="G41" s="2">
        <v>0.38318999999999998</v>
      </c>
      <c r="H41" s="2">
        <v>2.0935000000000001</v>
      </c>
      <c r="I41" s="3">
        <v>29.55</v>
      </c>
      <c r="J41" s="28">
        <v>42</v>
      </c>
      <c r="K41" s="29">
        <v>20.663550000000001</v>
      </c>
      <c r="L41" s="29">
        <v>26.783909999999999</v>
      </c>
      <c r="M41" s="30">
        <v>232.93</v>
      </c>
    </row>
    <row r="42" spans="1:15" x14ac:dyDescent="0.25">
      <c r="A42" s="9" t="s">
        <v>26</v>
      </c>
      <c r="B42" s="4" t="s">
        <v>2</v>
      </c>
      <c r="C42" s="4" t="s">
        <v>3</v>
      </c>
      <c r="D42" s="4" t="s">
        <v>4</v>
      </c>
      <c r="E42" s="5" t="s">
        <v>5</v>
      </c>
      <c r="F42" s="4" t="s">
        <v>2</v>
      </c>
      <c r="G42" s="4" t="s">
        <v>3</v>
      </c>
      <c r="H42" s="4" t="s">
        <v>4</v>
      </c>
      <c r="I42" s="5" t="s">
        <v>5</v>
      </c>
      <c r="J42" s="25" t="s">
        <v>2</v>
      </c>
      <c r="K42" s="4" t="s">
        <v>3</v>
      </c>
      <c r="L42" s="4" t="s">
        <v>4</v>
      </c>
      <c r="M42" s="5" t="s">
        <v>5</v>
      </c>
    </row>
    <row r="43" spans="1:15" x14ac:dyDescent="0.25">
      <c r="A43" s="11">
        <v>0.01</v>
      </c>
      <c r="B43">
        <v>100</v>
      </c>
      <c r="C43">
        <v>0.13653000000000001</v>
      </c>
      <c r="D43">
        <v>0.10048</v>
      </c>
      <c r="E43">
        <v>243.9</v>
      </c>
      <c r="F43">
        <v>96</v>
      </c>
      <c r="G43">
        <v>0.27194000000000002</v>
      </c>
      <c r="H43">
        <v>1.0098100000000001</v>
      </c>
      <c r="I43">
        <v>42.03</v>
      </c>
      <c r="J43" s="18">
        <v>31</v>
      </c>
      <c r="K43">
        <v>26.627829999999999</v>
      </c>
      <c r="L43">
        <v>36.817100000000003</v>
      </c>
      <c r="M43" s="1">
        <v>743.66</v>
      </c>
    </row>
    <row r="44" spans="1:15" x14ac:dyDescent="0.25">
      <c r="A44" s="10">
        <v>0.1</v>
      </c>
      <c r="B44" s="18">
        <v>100</v>
      </c>
      <c r="C44">
        <v>0.13739999999999999</v>
      </c>
      <c r="D44">
        <v>0.45479999999999998</v>
      </c>
      <c r="E44" s="1">
        <v>67.540000000000006</v>
      </c>
      <c r="F44" s="18">
        <v>96</v>
      </c>
      <c r="G44">
        <v>0.19239999999999999</v>
      </c>
      <c r="H44">
        <v>1.1317200000000001</v>
      </c>
      <c r="I44" s="1">
        <v>34.89</v>
      </c>
      <c r="J44" s="18">
        <v>39</v>
      </c>
      <c r="K44">
        <v>15.2828</v>
      </c>
      <c r="L44">
        <v>18.965959999999999</v>
      </c>
      <c r="M44" s="1">
        <v>466.46</v>
      </c>
      <c r="O44" t="s">
        <v>27</v>
      </c>
    </row>
    <row r="45" spans="1:15" x14ac:dyDescent="0.25">
      <c r="A45" s="11">
        <v>0.3</v>
      </c>
      <c r="B45">
        <v>100</v>
      </c>
      <c r="C45">
        <v>0.13908000000000001</v>
      </c>
      <c r="D45">
        <v>0.11688999999999999</v>
      </c>
      <c r="E45">
        <v>251.03</v>
      </c>
      <c r="F45">
        <v>94</v>
      </c>
      <c r="G45">
        <v>0.28765000000000002</v>
      </c>
      <c r="H45">
        <v>0.85550999999999999</v>
      </c>
      <c r="I45" s="1">
        <v>44.01</v>
      </c>
      <c r="J45" s="18">
        <v>33</v>
      </c>
      <c r="K45">
        <v>16.525379999999998</v>
      </c>
      <c r="L45">
        <v>23.315190000000001</v>
      </c>
      <c r="M45" s="1">
        <v>490.27</v>
      </c>
    </row>
    <row r="46" spans="1:15" x14ac:dyDescent="0.25">
      <c r="A46" s="11">
        <v>0.5</v>
      </c>
      <c r="B46">
        <v>100</v>
      </c>
      <c r="C46">
        <v>0.15393999999999999</v>
      </c>
      <c r="D46">
        <v>0.12905</v>
      </c>
      <c r="E46">
        <v>269.44</v>
      </c>
      <c r="F46">
        <v>92</v>
      </c>
      <c r="G46">
        <v>0.76822000000000001</v>
      </c>
      <c r="H46">
        <v>3.07809</v>
      </c>
      <c r="I46" s="1">
        <v>109.28</v>
      </c>
      <c r="J46" s="26">
        <v>43</v>
      </c>
      <c r="K46" s="31">
        <v>24.18421</v>
      </c>
      <c r="L46" s="31">
        <v>28.516549999999999</v>
      </c>
      <c r="M46" s="27">
        <v>749.67</v>
      </c>
    </row>
    <row r="47" spans="1:15" x14ac:dyDescent="0.25">
      <c r="A47" s="11">
        <v>0.7</v>
      </c>
      <c r="B47">
        <v>100</v>
      </c>
      <c r="C47">
        <v>0.16399</v>
      </c>
      <c r="D47">
        <v>0.16389000000000001</v>
      </c>
      <c r="E47">
        <v>294.77</v>
      </c>
      <c r="F47">
        <v>94</v>
      </c>
      <c r="G47">
        <v>0.53427000000000002</v>
      </c>
      <c r="H47">
        <v>2.5561099999999999</v>
      </c>
      <c r="I47" s="1">
        <v>78</v>
      </c>
      <c r="J47" s="19"/>
      <c r="K47" s="2"/>
      <c r="L47" s="2"/>
      <c r="M47" s="3"/>
    </row>
    <row r="48" spans="1:15" x14ac:dyDescent="0.25">
      <c r="A48" s="9" t="s">
        <v>6</v>
      </c>
      <c r="B48" s="4" t="s">
        <v>2</v>
      </c>
      <c r="C48" s="4" t="s">
        <v>3</v>
      </c>
      <c r="D48" s="4" t="s">
        <v>4</v>
      </c>
      <c r="E48" s="5" t="s">
        <v>5</v>
      </c>
      <c r="F48" s="4" t="s">
        <v>2</v>
      </c>
      <c r="G48" s="4" t="s">
        <v>3</v>
      </c>
      <c r="H48" s="4" t="s">
        <v>4</v>
      </c>
      <c r="I48" s="5" t="s">
        <v>5</v>
      </c>
      <c r="J48" s="25" t="s">
        <v>2</v>
      </c>
      <c r="K48" s="4" t="s">
        <v>3</v>
      </c>
      <c r="L48" s="4" t="s">
        <v>4</v>
      </c>
      <c r="M48" s="5" t="s">
        <v>5</v>
      </c>
    </row>
    <row r="49" spans="1:13" x14ac:dyDescent="0.25">
      <c r="A49" s="11">
        <v>0.3</v>
      </c>
      <c r="B49" s="18">
        <v>100</v>
      </c>
      <c r="C49">
        <v>3.2870000000000003E-2</v>
      </c>
      <c r="D49">
        <v>3.1550000000000002E-2</v>
      </c>
      <c r="E49" s="1">
        <v>52.85</v>
      </c>
      <c r="F49">
        <v>100</v>
      </c>
      <c r="G49">
        <v>9.0590000000000004E-2</v>
      </c>
      <c r="H49">
        <v>0.24986</v>
      </c>
      <c r="I49">
        <v>22.76</v>
      </c>
      <c r="J49" s="18">
        <v>5</v>
      </c>
      <c r="K49">
        <v>4.7953900000000003</v>
      </c>
      <c r="L49">
        <v>3.9051399999999998</v>
      </c>
      <c r="M49" s="1">
        <v>172</v>
      </c>
    </row>
    <row r="50" spans="1:13" x14ac:dyDescent="0.25">
      <c r="A50" s="11">
        <v>0.5</v>
      </c>
      <c r="B50" s="18">
        <v>100</v>
      </c>
      <c r="C50">
        <v>4.6920000000000003E-2</v>
      </c>
      <c r="D50">
        <v>3.5209999999999998E-2</v>
      </c>
      <c r="E50" s="1">
        <v>59</v>
      </c>
      <c r="F50">
        <v>100</v>
      </c>
      <c r="G50">
        <v>0.1152</v>
      </c>
      <c r="H50">
        <v>0.31873000000000001</v>
      </c>
      <c r="I50">
        <v>28.43</v>
      </c>
      <c r="J50" s="18">
        <v>20</v>
      </c>
      <c r="K50">
        <v>10.697380000000001</v>
      </c>
      <c r="L50">
        <v>13.24197</v>
      </c>
      <c r="M50" s="1">
        <v>417.8</v>
      </c>
    </row>
    <row r="51" spans="1:13" x14ac:dyDescent="0.25">
      <c r="A51" s="11">
        <v>0.7</v>
      </c>
      <c r="B51" s="18">
        <v>100</v>
      </c>
      <c r="C51">
        <v>5.8720000000000001E-2</v>
      </c>
      <c r="D51">
        <v>5.373E-2</v>
      </c>
      <c r="E51" s="1">
        <v>59.55</v>
      </c>
      <c r="F51">
        <v>100</v>
      </c>
      <c r="G51">
        <v>0.49930999999999998</v>
      </c>
      <c r="H51">
        <v>1.4323399999999999</v>
      </c>
      <c r="I51">
        <v>51.03</v>
      </c>
      <c r="J51" s="26">
        <v>42</v>
      </c>
      <c r="K51" s="31">
        <v>27.12865</v>
      </c>
      <c r="L51" s="31">
        <v>28.274059999999999</v>
      </c>
      <c r="M51" s="27">
        <v>1047.93</v>
      </c>
    </row>
    <row r="52" spans="1:13" x14ac:dyDescent="0.25">
      <c r="A52" s="10">
        <v>0.9</v>
      </c>
      <c r="B52" s="18">
        <v>100</v>
      </c>
      <c r="C52">
        <v>0.13739999999999999</v>
      </c>
      <c r="D52">
        <v>0.45479999999999998</v>
      </c>
      <c r="E52" s="1">
        <v>67.540000000000006</v>
      </c>
      <c r="F52" s="18">
        <v>96</v>
      </c>
      <c r="G52">
        <v>0.19239999999999999</v>
      </c>
      <c r="H52">
        <v>1.1317200000000001</v>
      </c>
      <c r="I52">
        <v>34.89</v>
      </c>
      <c r="J52" s="18">
        <v>32</v>
      </c>
      <c r="K52">
        <v>20.70402</v>
      </c>
      <c r="L52">
        <v>28.89677</v>
      </c>
      <c r="M52" s="1">
        <v>834.94</v>
      </c>
    </row>
    <row r="53" spans="1:13" x14ac:dyDescent="0.25">
      <c r="A53" s="12">
        <v>0.99</v>
      </c>
      <c r="B53" s="19">
        <v>100</v>
      </c>
      <c r="C53" s="2">
        <v>5.1470000000000002E-2</v>
      </c>
      <c r="D53" s="2">
        <v>5.1880000000000003E-2</v>
      </c>
      <c r="E53" s="3">
        <v>70.38</v>
      </c>
      <c r="F53" s="19">
        <v>90</v>
      </c>
      <c r="G53" s="2">
        <v>0.12556</v>
      </c>
      <c r="H53" s="2">
        <v>0.38002999999999998</v>
      </c>
      <c r="I53" s="2">
        <v>13.41</v>
      </c>
      <c r="J53" s="19">
        <v>26</v>
      </c>
      <c r="K53" s="2">
        <v>12.015040000000001</v>
      </c>
      <c r="L53" s="2">
        <v>20.00123</v>
      </c>
      <c r="M53" s="3">
        <v>439.23</v>
      </c>
    </row>
    <row r="54" spans="1:13" x14ac:dyDescent="0.25">
      <c r="A54" s="9" t="s">
        <v>7</v>
      </c>
      <c r="B54" s="4" t="s">
        <v>2</v>
      </c>
      <c r="C54" s="4" t="s">
        <v>3</v>
      </c>
      <c r="D54" s="4" t="s">
        <v>4</v>
      </c>
      <c r="E54" s="5" t="s">
        <v>5</v>
      </c>
      <c r="F54" s="4" t="s">
        <v>2</v>
      </c>
      <c r="G54" s="4" t="s">
        <v>3</v>
      </c>
      <c r="H54" s="4" t="s">
        <v>4</v>
      </c>
      <c r="I54" s="5" t="s">
        <v>5</v>
      </c>
      <c r="J54" s="25" t="s">
        <v>2</v>
      </c>
      <c r="K54" s="4" t="s">
        <v>3</v>
      </c>
      <c r="L54" s="4" t="s">
        <v>4</v>
      </c>
      <c r="M54" s="5" t="s">
        <v>5</v>
      </c>
    </row>
    <row r="55" spans="1:13" x14ac:dyDescent="0.25">
      <c r="A55" s="11">
        <v>0.3</v>
      </c>
      <c r="B55" s="18">
        <v>99</v>
      </c>
      <c r="C55">
        <v>0.22056999999999999</v>
      </c>
      <c r="D55">
        <v>0.25666</v>
      </c>
      <c r="E55" s="1">
        <v>122.05</v>
      </c>
      <c r="F55" s="18">
        <v>89</v>
      </c>
      <c r="G55">
        <v>0.10224</v>
      </c>
      <c r="H55">
        <v>0.22439999999999999</v>
      </c>
      <c r="I55" s="1">
        <v>20.52</v>
      </c>
      <c r="J55" s="18">
        <v>22</v>
      </c>
      <c r="K55">
        <v>18.87885</v>
      </c>
      <c r="L55">
        <v>22.056090000000001</v>
      </c>
      <c r="M55" s="1">
        <v>366.73</v>
      </c>
    </row>
    <row r="56" spans="1:13" x14ac:dyDescent="0.25">
      <c r="A56" s="11">
        <v>0.5</v>
      </c>
      <c r="B56">
        <v>100</v>
      </c>
      <c r="C56">
        <v>0.18623000000000001</v>
      </c>
      <c r="D56">
        <v>0.14108000000000001</v>
      </c>
      <c r="E56">
        <v>336.95</v>
      </c>
      <c r="F56" s="18">
        <v>88</v>
      </c>
      <c r="G56">
        <v>0.15475</v>
      </c>
      <c r="H56">
        <v>0.29314000000000001</v>
      </c>
      <c r="I56" s="1">
        <v>20.09</v>
      </c>
      <c r="J56" s="18">
        <v>24</v>
      </c>
      <c r="K56">
        <v>21.631530000000001</v>
      </c>
      <c r="L56">
        <v>29.923020000000001</v>
      </c>
      <c r="M56" s="1">
        <v>468</v>
      </c>
    </row>
    <row r="57" spans="1:13" x14ac:dyDescent="0.25">
      <c r="A57" s="11">
        <v>0.7</v>
      </c>
      <c r="B57" s="18">
        <v>100</v>
      </c>
      <c r="C57">
        <v>5.8970000000000002E-2</v>
      </c>
      <c r="D57">
        <v>5.4089999999999999E-2</v>
      </c>
      <c r="E57" s="1">
        <v>86.16</v>
      </c>
      <c r="F57">
        <v>85</v>
      </c>
      <c r="G57">
        <v>0.17541000000000001</v>
      </c>
      <c r="H57">
        <v>0.35022999999999999</v>
      </c>
      <c r="I57">
        <v>18.8</v>
      </c>
      <c r="J57" s="26">
        <v>41</v>
      </c>
      <c r="K57" s="31">
        <v>16.579899999999999</v>
      </c>
      <c r="L57" s="31">
        <v>22.395779999999998</v>
      </c>
      <c r="M57" s="27">
        <v>571</v>
      </c>
    </row>
    <row r="58" spans="1:13" x14ac:dyDescent="0.25">
      <c r="A58" s="10">
        <v>0.9</v>
      </c>
      <c r="B58" s="18">
        <v>100</v>
      </c>
      <c r="C58">
        <v>0.13739999999999999</v>
      </c>
      <c r="D58">
        <v>0.45479999999999998</v>
      </c>
      <c r="E58" s="1">
        <v>67.540000000000006</v>
      </c>
      <c r="F58" s="18">
        <v>96</v>
      </c>
      <c r="G58">
        <v>0.19239999999999999</v>
      </c>
      <c r="H58">
        <v>1.1317200000000001</v>
      </c>
      <c r="I58" s="1">
        <v>34.89</v>
      </c>
      <c r="J58" s="18">
        <v>39</v>
      </c>
      <c r="K58">
        <v>15.2828</v>
      </c>
      <c r="L58">
        <v>18.965959999999999</v>
      </c>
      <c r="M58" s="1">
        <v>466.46</v>
      </c>
    </row>
    <row r="59" spans="1:13" x14ac:dyDescent="0.25">
      <c r="A59" s="12">
        <v>0.99</v>
      </c>
      <c r="B59" s="19">
        <v>100</v>
      </c>
      <c r="C59" s="2">
        <v>5.4199999999999998E-2</v>
      </c>
      <c r="D59" s="2">
        <v>5.3120000000000001E-2</v>
      </c>
      <c r="E59" s="3">
        <v>72.150000000000006</v>
      </c>
      <c r="F59" s="19">
        <v>92</v>
      </c>
      <c r="G59" s="2">
        <v>0.17291000000000001</v>
      </c>
      <c r="H59" s="2">
        <v>0.38212000000000002</v>
      </c>
      <c r="I59" s="3">
        <v>31.76</v>
      </c>
      <c r="J59" s="19">
        <v>29</v>
      </c>
      <c r="K59" s="2">
        <v>15.494490000000001</v>
      </c>
      <c r="L59" s="2">
        <v>20.988119999999999</v>
      </c>
      <c r="M59" s="3">
        <v>557.69000000000005</v>
      </c>
    </row>
    <row r="60" spans="1:13" x14ac:dyDescent="0.25">
      <c r="A60" s="9" t="s">
        <v>8</v>
      </c>
      <c r="B60" s="4" t="s">
        <v>2</v>
      </c>
      <c r="C60" s="4" t="s">
        <v>3</v>
      </c>
      <c r="D60" s="4" t="s">
        <v>4</v>
      </c>
      <c r="E60" s="5" t="s">
        <v>5</v>
      </c>
      <c r="F60" s="4" t="s">
        <v>2</v>
      </c>
      <c r="G60" s="4" t="s">
        <v>3</v>
      </c>
      <c r="H60" s="4" t="s">
        <v>4</v>
      </c>
      <c r="I60" s="5" t="s">
        <v>5</v>
      </c>
      <c r="J60" s="25" t="s">
        <v>2</v>
      </c>
      <c r="K60" s="4" t="s">
        <v>3</v>
      </c>
      <c r="L60" s="4" t="s">
        <v>4</v>
      </c>
      <c r="M60" s="5" t="s">
        <v>5</v>
      </c>
    </row>
    <row r="61" spans="1:13" x14ac:dyDescent="0.25">
      <c r="A61" s="11">
        <v>2.5000000000000001E-3</v>
      </c>
      <c r="B61" s="18">
        <v>100</v>
      </c>
      <c r="C61">
        <v>8.2930000000000004E-2</v>
      </c>
      <c r="D61">
        <v>7.9930000000000001E-2</v>
      </c>
      <c r="E61" s="1">
        <v>75.27</v>
      </c>
      <c r="F61" s="18"/>
      <c r="I61" s="1"/>
      <c r="J61" s="18">
        <v>42</v>
      </c>
      <c r="K61">
        <v>10.120900000000001</v>
      </c>
      <c r="L61">
        <v>15.638109999999999</v>
      </c>
      <c r="M61" s="1">
        <v>334.4</v>
      </c>
    </row>
    <row r="62" spans="1:13" x14ac:dyDescent="0.25">
      <c r="A62" s="10">
        <v>5.0000000000000001E-3</v>
      </c>
      <c r="B62" s="18">
        <v>100</v>
      </c>
      <c r="C62">
        <v>0.13739999999999999</v>
      </c>
      <c r="D62">
        <v>0.45479999999999998</v>
      </c>
      <c r="E62" s="1">
        <v>67.540000000000006</v>
      </c>
      <c r="F62" s="18">
        <v>96</v>
      </c>
      <c r="G62">
        <v>0.19239999999999999</v>
      </c>
      <c r="H62">
        <v>1.1317200000000001</v>
      </c>
      <c r="I62" s="1">
        <v>34.89</v>
      </c>
      <c r="J62" s="18">
        <v>39</v>
      </c>
      <c r="K62">
        <v>15.2828</v>
      </c>
      <c r="L62">
        <v>18.965959999999999</v>
      </c>
      <c r="M62" s="1">
        <v>466.46</v>
      </c>
    </row>
    <row r="63" spans="1:13" x14ac:dyDescent="0.25">
      <c r="A63" s="11">
        <v>7.4999999999999997E-3</v>
      </c>
      <c r="B63" s="18">
        <v>100</v>
      </c>
      <c r="C63">
        <v>7.3249999999999996E-2</v>
      </c>
      <c r="D63">
        <v>8.7080000000000005E-2</v>
      </c>
      <c r="E63" s="1">
        <v>61.93</v>
      </c>
      <c r="F63" s="18">
        <v>98</v>
      </c>
      <c r="G63">
        <v>0.37467</v>
      </c>
      <c r="H63">
        <v>1.3417699999999999</v>
      </c>
      <c r="I63" s="1">
        <v>56.19</v>
      </c>
      <c r="J63" s="26">
        <v>46</v>
      </c>
      <c r="K63" s="31">
        <v>16.159479999999999</v>
      </c>
      <c r="L63" s="31">
        <v>22.678239999999999</v>
      </c>
      <c r="M63" s="27">
        <v>533.26</v>
      </c>
    </row>
    <row r="64" spans="1:13" x14ac:dyDescent="0.25">
      <c r="A64" s="11">
        <v>0.01</v>
      </c>
      <c r="B64" s="18">
        <v>100</v>
      </c>
      <c r="C64">
        <v>9.1859999999999997E-2</v>
      </c>
      <c r="D64">
        <v>8.4220000000000003E-2</v>
      </c>
      <c r="E64" s="1">
        <v>72.34</v>
      </c>
      <c r="F64" s="18">
        <v>92</v>
      </c>
      <c r="G64">
        <v>0.23386999999999999</v>
      </c>
      <c r="H64">
        <v>1.0670599999999999</v>
      </c>
      <c r="I64" s="1">
        <v>35.42</v>
      </c>
      <c r="J64" s="18">
        <v>35</v>
      </c>
      <c r="K64">
        <v>14.075939999999999</v>
      </c>
      <c r="L64">
        <v>16.272670000000002</v>
      </c>
      <c r="M64" s="1">
        <v>449.77</v>
      </c>
    </row>
    <row r="65" spans="1:13" x14ac:dyDescent="0.25">
      <c r="A65" s="12">
        <v>1.2500000000000001E-2</v>
      </c>
      <c r="B65" s="19">
        <v>100</v>
      </c>
      <c r="C65" s="2">
        <v>9.4350000000000003E-2</v>
      </c>
      <c r="D65" s="2">
        <v>8.6910000000000001E-2</v>
      </c>
      <c r="E65" s="3">
        <v>75.75</v>
      </c>
      <c r="F65" s="19">
        <v>92</v>
      </c>
      <c r="G65" s="2">
        <v>0.92545999999999995</v>
      </c>
      <c r="H65" s="2">
        <v>3.5611799999999998</v>
      </c>
      <c r="I65" s="3">
        <v>159.34</v>
      </c>
      <c r="J65" s="19">
        <v>42</v>
      </c>
      <c r="K65" s="2">
        <v>19.724240000000002</v>
      </c>
      <c r="L65" s="2">
        <v>24.474710000000002</v>
      </c>
      <c r="M65" s="3">
        <v>443.48</v>
      </c>
    </row>
    <row r="68" spans="1:13" x14ac:dyDescent="0.25">
      <c r="A68" s="107" t="s">
        <v>14</v>
      </c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9"/>
    </row>
    <row r="69" spans="1:13" x14ac:dyDescent="0.25">
      <c r="A69" s="110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2"/>
    </row>
    <row r="70" spans="1:13" x14ac:dyDescent="0.25">
      <c r="A70" s="87" t="s">
        <v>23</v>
      </c>
      <c r="B70" s="89" t="s">
        <v>20</v>
      </c>
      <c r="C70" s="90"/>
      <c r="D70" s="90"/>
      <c r="E70" s="91"/>
      <c r="F70" s="95" t="s">
        <v>21</v>
      </c>
      <c r="G70" s="96"/>
      <c r="H70" s="96"/>
      <c r="I70" s="97"/>
      <c r="J70" s="95" t="s">
        <v>22</v>
      </c>
      <c r="K70" s="96"/>
      <c r="L70" s="96"/>
      <c r="M70" s="97"/>
    </row>
    <row r="71" spans="1:13" x14ac:dyDescent="0.25">
      <c r="A71" s="88"/>
      <c r="B71" s="92"/>
      <c r="C71" s="93"/>
      <c r="D71" s="93"/>
      <c r="E71" s="94"/>
      <c r="F71" s="98"/>
      <c r="G71" s="99"/>
      <c r="H71" s="99"/>
      <c r="I71" s="100"/>
      <c r="J71" s="98"/>
      <c r="K71" s="99"/>
      <c r="L71" s="99"/>
      <c r="M71" s="100"/>
    </row>
    <row r="72" spans="1:13" x14ac:dyDescent="0.25">
      <c r="A72" s="9" t="s">
        <v>15</v>
      </c>
      <c r="B72" s="4" t="s">
        <v>2</v>
      </c>
      <c r="C72" s="4" t="s">
        <v>3</v>
      </c>
      <c r="D72" s="4" t="s">
        <v>4</v>
      </c>
      <c r="E72" s="5" t="s">
        <v>5</v>
      </c>
      <c r="F72" s="4" t="s">
        <v>2</v>
      </c>
      <c r="G72" s="4" t="s">
        <v>3</v>
      </c>
      <c r="H72" s="4" t="s">
        <v>4</v>
      </c>
      <c r="I72" s="5" t="s">
        <v>5</v>
      </c>
      <c r="J72" s="25" t="s">
        <v>2</v>
      </c>
      <c r="K72" s="4" t="s">
        <v>3</v>
      </c>
      <c r="L72" s="4" t="s">
        <v>4</v>
      </c>
      <c r="M72" s="5" t="s">
        <v>5</v>
      </c>
    </row>
    <row r="73" spans="1:13" x14ac:dyDescent="0.25">
      <c r="A73" s="11">
        <v>1</v>
      </c>
      <c r="B73" s="18">
        <v>100</v>
      </c>
      <c r="C73">
        <v>0.1736</v>
      </c>
      <c r="D73">
        <v>0.13324</v>
      </c>
      <c r="E73" s="1">
        <v>280.95</v>
      </c>
      <c r="F73" s="18">
        <v>85</v>
      </c>
      <c r="G73">
        <v>2.0163500000000001</v>
      </c>
      <c r="H73">
        <v>4.4357899999999999</v>
      </c>
      <c r="I73" s="1">
        <v>522.16</v>
      </c>
      <c r="J73" s="18">
        <v>31</v>
      </c>
      <c r="K73">
        <v>43.124859999999998</v>
      </c>
      <c r="L73">
        <v>33.16995</v>
      </c>
      <c r="M73" s="1">
        <v>1322.54</v>
      </c>
    </row>
    <row r="74" spans="1:13" x14ac:dyDescent="0.25">
      <c r="A74" s="11">
        <v>2</v>
      </c>
      <c r="B74" s="18">
        <v>100</v>
      </c>
      <c r="C74">
        <v>7.8030000000000002E-2</v>
      </c>
      <c r="D74">
        <v>7.4429999999999996E-2</v>
      </c>
      <c r="E74" s="1">
        <v>130.55000000000001</v>
      </c>
      <c r="F74" s="18">
        <v>92</v>
      </c>
      <c r="G74">
        <v>3.5002300000000002</v>
      </c>
      <c r="H74">
        <v>5.0153100000000004</v>
      </c>
      <c r="I74" s="1">
        <v>380.2</v>
      </c>
      <c r="J74" s="18">
        <v>20</v>
      </c>
      <c r="K74">
        <v>29.435120000000001</v>
      </c>
      <c r="L74">
        <v>33.975160000000002</v>
      </c>
      <c r="M74" s="1">
        <v>899.2</v>
      </c>
    </row>
    <row r="75" spans="1:13" x14ac:dyDescent="0.25">
      <c r="A75" s="10">
        <v>3</v>
      </c>
      <c r="B75" s="18">
        <v>100</v>
      </c>
      <c r="C75">
        <v>0.1055</v>
      </c>
      <c r="D75">
        <v>0.49903999999999998</v>
      </c>
      <c r="E75" s="1">
        <v>83.08</v>
      </c>
      <c r="F75" s="18">
        <v>96</v>
      </c>
      <c r="G75">
        <v>0.19239999999999999</v>
      </c>
      <c r="H75">
        <v>1.1317200000000001</v>
      </c>
      <c r="I75" s="1">
        <v>37.89</v>
      </c>
      <c r="J75" s="18">
        <v>32</v>
      </c>
      <c r="K75">
        <v>20.70402</v>
      </c>
      <c r="L75">
        <v>28.89677</v>
      </c>
      <c r="M75" s="1">
        <v>834.94</v>
      </c>
    </row>
    <row r="76" spans="1:13" x14ac:dyDescent="0.25">
      <c r="A76" s="11">
        <v>4</v>
      </c>
      <c r="B76" s="18">
        <v>100</v>
      </c>
      <c r="C76">
        <v>0.13739999999999999</v>
      </c>
      <c r="D76">
        <v>0.45479999999999998</v>
      </c>
      <c r="E76" s="1">
        <v>67.540000000000006</v>
      </c>
      <c r="F76" s="18">
        <v>92</v>
      </c>
      <c r="G76">
        <v>0.90417000000000003</v>
      </c>
      <c r="H76">
        <v>3.1811799999999999</v>
      </c>
      <c r="I76" s="1">
        <v>32.72</v>
      </c>
      <c r="J76" s="26">
        <v>39</v>
      </c>
      <c r="K76" s="31">
        <v>15.2828</v>
      </c>
      <c r="L76" s="31">
        <v>18.965959999999999</v>
      </c>
      <c r="M76" s="27">
        <v>466.46</v>
      </c>
    </row>
    <row r="77" spans="1:13" x14ac:dyDescent="0.25">
      <c r="A77" s="12">
        <v>5</v>
      </c>
      <c r="B77" s="19">
        <v>100</v>
      </c>
      <c r="C77" s="2">
        <v>3.977E-2</v>
      </c>
      <c r="D77" s="2">
        <v>4.6280000000000002E-2</v>
      </c>
      <c r="E77" s="3">
        <v>54.68</v>
      </c>
      <c r="F77" s="19">
        <v>99</v>
      </c>
      <c r="G77" s="2">
        <v>0.22301000000000001</v>
      </c>
      <c r="H77" s="2">
        <v>1.3042199999999999</v>
      </c>
      <c r="I77" s="3">
        <v>20.07</v>
      </c>
      <c r="J77" s="19">
        <v>36</v>
      </c>
      <c r="K77" s="2">
        <v>32.948900000000002</v>
      </c>
      <c r="L77" s="2">
        <v>29.788170000000001</v>
      </c>
      <c r="M77" s="3">
        <v>2746.94</v>
      </c>
    </row>
    <row r="78" spans="1:13" x14ac:dyDescent="0.25">
      <c r="A78" s="9" t="s">
        <v>16</v>
      </c>
      <c r="B78" s="4" t="s">
        <v>2</v>
      </c>
      <c r="C78" s="4" t="s">
        <v>3</v>
      </c>
      <c r="D78" s="4" t="s">
        <v>4</v>
      </c>
      <c r="E78" s="5" t="s">
        <v>5</v>
      </c>
      <c r="F78" s="25" t="s">
        <v>2</v>
      </c>
      <c r="G78" s="4" t="s">
        <v>3</v>
      </c>
      <c r="H78" s="4" t="s">
        <v>4</v>
      </c>
      <c r="I78" s="5" t="s">
        <v>5</v>
      </c>
      <c r="J78" s="25" t="s">
        <v>2</v>
      </c>
      <c r="K78" s="4" t="s">
        <v>3</v>
      </c>
      <c r="L78" s="4" t="s">
        <v>4</v>
      </c>
      <c r="M78" s="5" t="s">
        <v>5</v>
      </c>
    </row>
    <row r="79" spans="1:13" x14ac:dyDescent="0.25">
      <c r="A79" s="11">
        <v>100</v>
      </c>
      <c r="B79" s="18">
        <v>100</v>
      </c>
      <c r="C79">
        <v>9.2420000000000002E-2</v>
      </c>
      <c r="D79">
        <v>9.5649999999999999E-2</v>
      </c>
      <c r="E79" s="1">
        <v>73.47</v>
      </c>
      <c r="F79" s="18">
        <v>97</v>
      </c>
      <c r="G79">
        <v>0.39572000000000002</v>
      </c>
      <c r="H79">
        <v>2.0413700000000001</v>
      </c>
      <c r="I79" s="1">
        <v>75.92</v>
      </c>
      <c r="J79" s="26">
        <v>41</v>
      </c>
      <c r="K79" s="31">
        <v>13.26463</v>
      </c>
      <c r="L79" s="31">
        <v>20.810230000000001</v>
      </c>
      <c r="M79" s="27">
        <v>526.41</v>
      </c>
    </row>
    <row r="80" spans="1:13" x14ac:dyDescent="0.25">
      <c r="A80" s="11">
        <v>150</v>
      </c>
      <c r="B80" s="18">
        <v>100</v>
      </c>
      <c r="C80">
        <v>7.0739999999999997E-2</v>
      </c>
      <c r="D80">
        <v>8.7059999999999998E-2</v>
      </c>
      <c r="E80" s="1">
        <v>55.85</v>
      </c>
      <c r="F80" s="18">
        <v>96</v>
      </c>
      <c r="G80">
        <v>0.44227</v>
      </c>
      <c r="H80">
        <v>2.2569699999999999</v>
      </c>
      <c r="I80" s="1">
        <v>85.85</v>
      </c>
      <c r="J80" s="18">
        <v>31</v>
      </c>
      <c r="K80">
        <v>25.47683</v>
      </c>
      <c r="L80">
        <v>34.006520000000002</v>
      </c>
      <c r="M80" s="1">
        <v>936</v>
      </c>
    </row>
    <row r="81" spans="1:13" x14ac:dyDescent="0.25">
      <c r="A81" s="10">
        <v>200</v>
      </c>
      <c r="B81" s="18">
        <v>100</v>
      </c>
      <c r="C81">
        <v>0.13739999999999999</v>
      </c>
      <c r="D81">
        <v>0.45479999999999998</v>
      </c>
      <c r="E81" s="1">
        <v>67.540000000000006</v>
      </c>
      <c r="F81" s="18">
        <v>96</v>
      </c>
      <c r="G81">
        <v>0.19239999999999999</v>
      </c>
      <c r="H81">
        <v>1.1317200000000001</v>
      </c>
      <c r="I81" s="1">
        <v>34.89</v>
      </c>
      <c r="J81" s="18">
        <v>39</v>
      </c>
      <c r="K81">
        <v>15.2828</v>
      </c>
      <c r="L81">
        <v>18.965959999999999</v>
      </c>
      <c r="M81" s="1">
        <v>466.46</v>
      </c>
    </row>
    <row r="82" spans="1:13" x14ac:dyDescent="0.25">
      <c r="A82" s="11">
        <v>250</v>
      </c>
      <c r="B82" s="18">
        <v>100</v>
      </c>
      <c r="C82">
        <v>8.8620000000000004E-2</v>
      </c>
      <c r="D82">
        <v>9.6909999999999996E-2</v>
      </c>
      <c r="E82" s="1">
        <v>66.3</v>
      </c>
      <c r="F82" s="18">
        <v>98</v>
      </c>
      <c r="G82">
        <v>0.49285000000000001</v>
      </c>
      <c r="H82">
        <v>2.4098199999999999</v>
      </c>
      <c r="I82" s="1">
        <v>73.400000000000006</v>
      </c>
      <c r="J82" s="18">
        <v>33</v>
      </c>
      <c r="K82">
        <v>20.703520000000001</v>
      </c>
      <c r="L82">
        <v>25.501380000000001</v>
      </c>
      <c r="M82" s="1">
        <v>529.94000000000005</v>
      </c>
    </row>
    <row r="83" spans="1:13" x14ac:dyDescent="0.25">
      <c r="A83" s="12">
        <v>300</v>
      </c>
      <c r="B83" s="19">
        <v>100</v>
      </c>
      <c r="C83" s="2">
        <v>5.3800000000000001E-2</v>
      </c>
      <c r="D83" s="2">
        <v>5.2639999999999999E-2</v>
      </c>
      <c r="E83" s="3">
        <v>54.64</v>
      </c>
      <c r="F83" s="19">
        <v>96</v>
      </c>
      <c r="G83" s="2">
        <v>0.45906000000000002</v>
      </c>
      <c r="H83" s="2">
        <v>1.72418</v>
      </c>
      <c r="I83" s="3">
        <v>62.42</v>
      </c>
      <c r="J83" s="19">
        <v>35</v>
      </c>
      <c r="K83" s="2">
        <v>14.95398</v>
      </c>
      <c r="L83" s="2">
        <v>24.54185</v>
      </c>
      <c r="M83" s="3">
        <v>471</v>
      </c>
    </row>
    <row r="84" spans="1:13" x14ac:dyDescent="0.25">
      <c r="A84" s="9" t="s">
        <v>17</v>
      </c>
      <c r="B84" s="4" t="s">
        <v>2</v>
      </c>
      <c r="C84" s="4" t="s">
        <v>3</v>
      </c>
      <c r="D84" s="4" t="s">
        <v>4</v>
      </c>
      <c r="E84" s="5" t="s">
        <v>5</v>
      </c>
      <c r="F84" s="4" t="s">
        <v>2</v>
      </c>
      <c r="G84" s="4" t="s">
        <v>3</v>
      </c>
      <c r="H84" s="4" t="s">
        <v>4</v>
      </c>
      <c r="I84" s="5" t="s">
        <v>5</v>
      </c>
      <c r="J84" s="25" t="s">
        <v>2</v>
      </c>
      <c r="K84" s="4" t="s">
        <v>3</v>
      </c>
      <c r="L84" s="4" t="s">
        <v>4</v>
      </c>
      <c r="M84" s="5" t="s">
        <v>5</v>
      </c>
    </row>
    <row r="85" spans="1:13" x14ac:dyDescent="0.25">
      <c r="A85" s="11">
        <v>40</v>
      </c>
      <c r="B85" s="18">
        <v>100</v>
      </c>
      <c r="C85">
        <v>0.11252</v>
      </c>
      <c r="D85">
        <v>0.10467</v>
      </c>
      <c r="E85" s="1">
        <v>75.88</v>
      </c>
      <c r="F85">
        <v>88</v>
      </c>
      <c r="G85">
        <v>0.23835999999999999</v>
      </c>
      <c r="H85">
        <v>1.1859500000000001</v>
      </c>
      <c r="I85" s="1">
        <v>41.9</v>
      </c>
      <c r="J85" s="18">
        <v>35</v>
      </c>
      <c r="K85">
        <v>24.085519999999999</v>
      </c>
      <c r="L85">
        <v>33.376989999999999</v>
      </c>
      <c r="M85" s="1">
        <v>891.34</v>
      </c>
    </row>
    <row r="86" spans="1:13" x14ac:dyDescent="0.25">
      <c r="A86" s="11">
        <v>60</v>
      </c>
      <c r="B86" s="18">
        <v>100</v>
      </c>
      <c r="C86">
        <v>7.0970000000000005E-2</v>
      </c>
      <c r="D86">
        <v>7.0230000000000001E-2</v>
      </c>
      <c r="E86" s="1">
        <v>69.78</v>
      </c>
      <c r="F86">
        <v>91</v>
      </c>
      <c r="G86">
        <v>0.65642999999999996</v>
      </c>
      <c r="H86">
        <v>2.31663</v>
      </c>
      <c r="I86" s="1">
        <v>58.99</v>
      </c>
      <c r="J86" s="26">
        <v>42</v>
      </c>
      <c r="K86" s="31">
        <v>17.136150000000001</v>
      </c>
      <c r="L86" s="31">
        <v>27.882960000000001</v>
      </c>
      <c r="M86" s="27">
        <v>565.21</v>
      </c>
    </row>
    <row r="87" spans="1:13" x14ac:dyDescent="0.25">
      <c r="A87" s="11">
        <v>80</v>
      </c>
      <c r="B87" s="18">
        <v>100</v>
      </c>
      <c r="C87">
        <v>7.2499999999999995E-2</v>
      </c>
      <c r="D87">
        <v>7.8899999999999998E-2</v>
      </c>
      <c r="E87" s="1">
        <v>65.099999999999994</v>
      </c>
      <c r="F87">
        <v>92</v>
      </c>
      <c r="G87">
        <v>0.72030000000000005</v>
      </c>
      <c r="H87">
        <v>3.2399200000000001</v>
      </c>
      <c r="I87" s="1">
        <v>116.25</v>
      </c>
      <c r="J87" s="18">
        <v>32</v>
      </c>
      <c r="K87">
        <v>17.779240000000001</v>
      </c>
      <c r="L87">
        <v>17.182320000000001</v>
      </c>
      <c r="M87" s="1">
        <v>538.69000000000005</v>
      </c>
    </row>
    <row r="88" spans="1:13" x14ac:dyDescent="0.25">
      <c r="A88" s="10">
        <v>100</v>
      </c>
      <c r="B88" s="18">
        <v>100</v>
      </c>
      <c r="C88">
        <v>0.13739999999999999</v>
      </c>
      <c r="D88">
        <v>0.45479999999999998</v>
      </c>
      <c r="E88" s="1">
        <v>67.540000000000006</v>
      </c>
      <c r="F88" s="18">
        <v>96</v>
      </c>
      <c r="G88">
        <v>0.19239999999999999</v>
      </c>
      <c r="H88">
        <v>1.1317200000000001</v>
      </c>
      <c r="I88" s="1">
        <v>34.89</v>
      </c>
      <c r="J88" s="18">
        <v>39</v>
      </c>
      <c r="K88">
        <v>15.2828</v>
      </c>
      <c r="L88">
        <v>18.965959999999999</v>
      </c>
      <c r="M88" s="1">
        <v>466.46</v>
      </c>
    </row>
    <row r="89" spans="1:13" x14ac:dyDescent="0.25">
      <c r="A89" s="12">
        <v>120</v>
      </c>
      <c r="B89" s="19">
        <v>100</v>
      </c>
      <c r="C89" s="2">
        <v>8.4559999999999996E-2</v>
      </c>
      <c r="D89" s="2">
        <v>7.3480000000000004E-2</v>
      </c>
      <c r="E89" s="3">
        <v>84.49</v>
      </c>
      <c r="F89">
        <v>92</v>
      </c>
      <c r="G89">
        <v>0.38899</v>
      </c>
      <c r="H89">
        <v>1.75031</v>
      </c>
      <c r="I89" s="3">
        <v>70.39</v>
      </c>
      <c r="J89" s="20">
        <v>31</v>
      </c>
      <c r="K89" s="2">
        <v>19.419920000000001</v>
      </c>
      <c r="L89" s="2">
        <v>25.038740000000001</v>
      </c>
      <c r="M89" s="3">
        <v>788.82</v>
      </c>
    </row>
    <row r="90" spans="1:13" x14ac:dyDescent="0.25">
      <c r="A90" s="9" t="s">
        <v>18</v>
      </c>
      <c r="B90" s="4" t="s">
        <v>2</v>
      </c>
      <c r="C90" s="4" t="s">
        <v>3</v>
      </c>
      <c r="D90" s="4" t="s">
        <v>4</v>
      </c>
      <c r="E90" s="5" t="s">
        <v>5</v>
      </c>
      <c r="F90" s="25" t="s">
        <v>2</v>
      </c>
      <c r="G90" s="4" t="s">
        <v>3</v>
      </c>
      <c r="H90" s="4" t="s">
        <v>4</v>
      </c>
      <c r="I90" s="5" t="s">
        <v>5</v>
      </c>
      <c r="J90" s="25" t="s">
        <v>2</v>
      </c>
      <c r="K90" s="4" t="s">
        <v>3</v>
      </c>
      <c r="L90" s="4" t="s">
        <v>4</v>
      </c>
      <c r="M90" s="5" t="s">
        <v>5</v>
      </c>
    </row>
    <row r="91" spans="1:13" x14ac:dyDescent="0.25">
      <c r="A91" s="11">
        <v>5</v>
      </c>
      <c r="B91" s="18">
        <v>100</v>
      </c>
      <c r="C91">
        <v>7.0940000000000003E-2</v>
      </c>
      <c r="D91">
        <v>6.9120000000000001E-2</v>
      </c>
      <c r="E91" s="1">
        <v>65.84</v>
      </c>
      <c r="F91" s="18">
        <v>89</v>
      </c>
      <c r="G91">
        <v>0.23099</v>
      </c>
      <c r="H91">
        <v>0.76576</v>
      </c>
      <c r="I91" s="1">
        <v>25.4</v>
      </c>
      <c r="J91" s="18">
        <v>35</v>
      </c>
      <c r="K91">
        <v>18.605250000000002</v>
      </c>
      <c r="L91">
        <v>33.572139999999997</v>
      </c>
      <c r="M91" s="1">
        <v>950.31</v>
      </c>
    </row>
    <row r="92" spans="1:13" x14ac:dyDescent="0.25">
      <c r="A92" s="10">
        <v>10</v>
      </c>
      <c r="B92" s="18">
        <v>100</v>
      </c>
      <c r="C92">
        <v>0.13739999999999999</v>
      </c>
      <c r="D92">
        <v>0.45479999999999998</v>
      </c>
      <c r="E92" s="1">
        <v>67.540000000000006</v>
      </c>
      <c r="F92" s="18">
        <v>96</v>
      </c>
      <c r="G92">
        <v>0.19239999999999999</v>
      </c>
      <c r="H92">
        <v>1.1317200000000001</v>
      </c>
      <c r="I92" s="1">
        <v>34.89</v>
      </c>
      <c r="J92" s="18">
        <v>39</v>
      </c>
      <c r="K92">
        <v>15.2828</v>
      </c>
      <c r="L92">
        <v>18.965959999999999</v>
      </c>
      <c r="M92" s="1">
        <v>466.46</v>
      </c>
    </row>
    <row r="93" spans="1:13" x14ac:dyDescent="0.25">
      <c r="A93" s="11">
        <v>15</v>
      </c>
      <c r="B93" s="18">
        <v>100</v>
      </c>
      <c r="C93">
        <v>9.1719999999999996E-2</v>
      </c>
      <c r="D93">
        <v>0.10326</v>
      </c>
      <c r="E93" s="1">
        <v>78.7</v>
      </c>
      <c r="F93" s="18">
        <v>98</v>
      </c>
      <c r="G93">
        <v>0.72380999999999995</v>
      </c>
      <c r="H93">
        <v>2.6921900000000001</v>
      </c>
      <c r="I93" s="1">
        <v>124.34</v>
      </c>
      <c r="J93" s="18">
        <v>35</v>
      </c>
      <c r="K93">
        <v>14.582229999999999</v>
      </c>
      <c r="L93">
        <v>24.53828</v>
      </c>
      <c r="M93" s="1">
        <v>826.69</v>
      </c>
    </row>
    <row r="94" spans="1:13" x14ac:dyDescent="0.25">
      <c r="A94" s="11">
        <v>20</v>
      </c>
      <c r="B94" s="18">
        <v>100</v>
      </c>
      <c r="C94">
        <v>8.0659999999999996E-2</v>
      </c>
      <c r="D94">
        <v>8.2180000000000003E-2</v>
      </c>
      <c r="E94" s="1">
        <v>72.73</v>
      </c>
      <c r="F94" s="18">
        <v>96</v>
      </c>
      <c r="G94">
        <v>0.25669999999999998</v>
      </c>
      <c r="H94">
        <v>1.3321799999999999</v>
      </c>
      <c r="I94" s="1">
        <v>52.8</v>
      </c>
      <c r="J94" s="18">
        <v>40</v>
      </c>
      <c r="K94">
        <v>7.6758100000000002</v>
      </c>
      <c r="L94">
        <v>12.51585</v>
      </c>
      <c r="M94" s="1">
        <v>454.23</v>
      </c>
    </row>
    <row r="95" spans="1:13" x14ac:dyDescent="0.25">
      <c r="A95" s="12">
        <v>25</v>
      </c>
      <c r="B95" s="19">
        <v>100</v>
      </c>
      <c r="C95" s="2">
        <v>6.1690000000000002E-2</v>
      </c>
      <c r="D95" s="2">
        <v>6.2309999999999997E-2</v>
      </c>
      <c r="E95" s="3">
        <v>67.61</v>
      </c>
      <c r="F95" s="19">
        <v>96</v>
      </c>
      <c r="G95" s="2">
        <v>0.57952000000000004</v>
      </c>
      <c r="H95" s="2">
        <v>2.18641</v>
      </c>
      <c r="I95" s="3">
        <v>94.54</v>
      </c>
      <c r="J95" s="28">
        <v>48</v>
      </c>
      <c r="K95" s="29">
        <v>21.426449999999999</v>
      </c>
      <c r="L95" s="29">
        <v>28.204609999999999</v>
      </c>
      <c r="M95" s="30">
        <v>1172.1500000000001</v>
      </c>
    </row>
    <row r="98" spans="1:6" x14ac:dyDescent="0.25">
      <c r="A98" s="118" t="s">
        <v>19</v>
      </c>
      <c r="B98" s="119"/>
      <c r="C98" s="119"/>
      <c r="D98" s="119"/>
      <c r="E98" s="119"/>
      <c r="F98" s="120"/>
    </row>
    <row r="99" spans="1:6" x14ac:dyDescent="0.25">
      <c r="A99" s="121"/>
      <c r="B99" s="122"/>
      <c r="C99" s="122"/>
      <c r="D99" s="122"/>
      <c r="E99" s="122"/>
      <c r="F99" s="123"/>
    </row>
    <row r="100" spans="1:6" x14ac:dyDescent="0.25">
      <c r="A100" s="14" t="s">
        <v>25</v>
      </c>
      <c r="B100" s="14" t="s">
        <v>24</v>
      </c>
      <c r="C100" s="15" t="s">
        <v>2</v>
      </c>
      <c r="D100" s="15" t="s">
        <v>3</v>
      </c>
      <c r="E100" s="15" t="s">
        <v>4</v>
      </c>
      <c r="F100" s="16" t="s">
        <v>5</v>
      </c>
    </row>
    <row r="101" spans="1:6" x14ac:dyDescent="0.25">
      <c r="A101" s="124" t="s">
        <v>20</v>
      </c>
      <c r="B101" s="17">
        <v>1</v>
      </c>
      <c r="C101" s="21">
        <v>100</v>
      </c>
      <c r="D101" s="22">
        <v>8.1229999999999997E-2</v>
      </c>
      <c r="E101" s="22">
        <v>6.0109999999999997E-2</v>
      </c>
      <c r="F101" s="23">
        <v>67.25</v>
      </c>
    </row>
    <row r="102" spans="1:6" x14ac:dyDescent="0.25">
      <c r="A102" s="125"/>
      <c r="B102" s="11">
        <v>3</v>
      </c>
      <c r="C102" s="18">
        <v>100</v>
      </c>
      <c r="D102">
        <v>6.1629999999999997E-2</v>
      </c>
      <c r="E102">
        <v>5.638E-2</v>
      </c>
      <c r="F102" s="1">
        <v>66.2</v>
      </c>
    </row>
    <row r="103" spans="1:6" x14ac:dyDescent="0.25">
      <c r="A103" s="125"/>
      <c r="B103" s="11">
        <v>5</v>
      </c>
      <c r="C103" s="18">
        <v>100</v>
      </c>
      <c r="D103">
        <v>0.13739999999999999</v>
      </c>
      <c r="E103">
        <v>0.45479999999999998</v>
      </c>
      <c r="F103" s="1">
        <v>67.540000000000006</v>
      </c>
    </row>
    <row r="104" spans="1:6" x14ac:dyDescent="0.25">
      <c r="A104" s="125"/>
      <c r="B104" s="11">
        <v>7</v>
      </c>
      <c r="C104" s="18">
        <v>100</v>
      </c>
      <c r="D104">
        <v>8.1449999999999995E-2</v>
      </c>
      <c r="E104">
        <v>7.8259999999999996E-2</v>
      </c>
      <c r="F104" s="1">
        <v>67.209999999999994</v>
      </c>
    </row>
    <row r="105" spans="1:6" x14ac:dyDescent="0.25">
      <c r="A105" s="126"/>
      <c r="B105" s="62">
        <v>9</v>
      </c>
      <c r="C105" s="63">
        <v>100</v>
      </c>
      <c r="D105" s="64">
        <v>6.4810000000000006E-2</v>
      </c>
      <c r="E105" s="64">
        <v>6.3570000000000002E-2</v>
      </c>
      <c r="F105" s="65">
        <v>58.65</v>
      </c>
    </row>
    <row r="106" spans="1:6" x14ac:dyDescent="0.25">
      <c r="A106" s="124" t="s">
        <v>21</v>
      </c>
      <c r="B106" s="11">
        <v>10</v>
      </c>
      <c r="C106" s="21">
        <v>90</v>
      </c>
      <c r="D106" s="22">
        <v>0.18898999999999999</v>
      </c>
      <c r="E106" s="22">
        <v>0.46034999999999998</v>
      </c>
      <c r="F106" s="23">
        <v>25.79</v>
      </c>
    </row>
    <row r="107" spans="1:6" x14ac:dyDescent="0.25">
      <c r="A107" s="125"/>
      <c r="B107" s="11">
        <v>15</v>
      </c>
      <c r="C107" s="18">
        <v>96</v>
      </c>
      <c r="D107">
        <v>0.21464</v>
      </c>
      <c r="E107">
        <v>0.69821999999999995</v>
      </c>
      <c r="F107" s="1">
        <v>41.28</v>
      </c>
    </row>
    <row r="108" spans="1:6" x14ac:dyDescent="0.25">
      <c r="A108" s="125"/>
      <c r="B108" s="11">
        <v>20</v>
      </c>
      <c r="C108" s="18">
        <v>96</v>
      </c>
      <c r="D108">
        <v>0.19239999999999999</v>
      </c>
      <c r="E108">
        <v>1.1317200000000001</v>
      </c>
      <c r="F108" s="1">
        <v>34.89</v>
      </c>
    </row>
    <row r="109" spans="1:6" x14ac:dyDescent="0.25">
      <c r="A109" s="125"/>
      <c r="B109" s="11">
        <v>25</v>
      </c>
      <c r="C109" s="18">
        <v>95</v>
      </c>
      <c r="D109">
        <v>0.33306000000000002</v>
      </c>
      <c r="E109">
        <v>1.75146</v>
      </c>
      <c r="F109" s="1">
        <v>53.71</v>
      </c>
    </row>
    <row r="110" spans="1:6" x14ac:dyDescent="0.25">
      <c r="A110" s="126"/>
      <c r="B110" s="66">
        <v>30</v>
      </c>
      <c r="C110" s="70">
        <v>98</v>
      </c>
      <c r="D110" s="71">
        <v>0.90488000000000002</v>
      </c>
      <c r="E110" s="71">
        <v>3.61469</v>
      </c>
      <c r="F110" s="72">
        <v>152.31</v>
      </c>
    </row>
    <row r="111" spans="1:6" x14ac:dyDescent="0.25">
      <c r="A111" s="124" t="s">
        <v>22</v>
      </c>
      <c r="B111" s="11">
        <v>60</v>
      </c>
      <c r="C111" s="21">
        <v>25</v>
      </c>
      <c r="D111" s="22">
        <v>28.1874</v>
      </c>
      <c r="E111" s="22">
        <v>32.975160000000002</v>
      </c>
      <c r="F111" s="23">
        <v>1095.72</v>
      </c>
    </row>
    <row r="112" spans="1:6" x14ac:dyDescent="0.25">
      <c r="A112" s="125"/>
      <c r="B112" s="11">
        <v>90</v>
      </c>
      <c r="C112" s="18">
        <v>30</v>
      </c>
      <c r="D112">
        <v>22.4572</v>
      </c>
      <c r="E112">
        <v>25.623930000000001</v>
      </c>
      <c r="F112" s="1">
        <v>750.74</v>
      </c>
    </row>
    <row r="113" spans="1:7" x14ac:dyDescent="0.25">
      <c r="A113" s="125"/>
      <c r="B113" s="11">
        <v>120</v>
      </c>
      <c r="C113" s="18">
        <v>39</v>
      </c>
      <c r="D113">
        <v>15.2828</v>
      </c>
      <c r="E113">
        <v>18.965959999999999</v>
      </c>
      <c r="F113" s="1">
        <v>466.46</v>
      </c>
    </row>
    <row r="114" spans="1:7" x14ac:dyDescent="0.25">
      <c r="A114" s="125"/>
      <c r="B114" s="11">
        <v>150</v>
      </c>
      <c r="C114" s="18">
        <v>43</v>
      </c>
      <c r="D114">
        <v>16.4711</v>
      </c>
      <c r="E114">
        <v>18.58192</v>
      </c>
      <c r="F114" s="1">
        <v>534.37</v>
      </c>
    </row>
    <row r="115" spans="1:7" x14ac:dyDescent="0.25">
      <c r="A115" s="126"/>
      <c r="B115" s="66">
        <v>180</v>
      </c>
      <c r="C115" s="67">
        <v>64</v>
      </c>
      <c r="D115" s="68">
        <v>27.8123</v>
      </c>
      <c r="E115" s="68">
        <v>16.93233</v>
      </c>
      <c r="F115" s="69">
        <v>1082.8399999999999</v>
      </c>
    </row>
    <row r="118" spans="1:7" x14ac:dyDescent="0.25">
      <c r="A118" s="79" t="s">
        <v>48</v>
      </c>
      <c r="B118" s="113"/>
      <c r="C118" s="113"/>
      <c r="D118" s="113"/>
      <c r="E118" s="113"/>
      <c r="F118" s="114"/>
    </row>
    <row r="119" spans="1:7" x14ac:dyDescent="0.25">
      <c r="A119" s="115"/>
      <c r="B119" s="116"/>
      <c r="C119" s="116"/>
      <c r="D119" s="116"/>
      <c r="E119" s="116"/>
      <c r="F119" s="117"/>
    </row>
    <row r="120" spans="1:7" ht="36.75" customHeight="1" x14ac:dyDescent="0.25">
      <c r="A120" s="77" t="s">
        <v>45</v>
      </c>
      <c r="B120" s="75" t="s">
        <v>2</v>
      </c>
      <c r="C120" s="75" t="s">
        <v>3</v>
      </c>
      <c r="D120" s="75" t="s">
        <v>4</v>
      </c>
      <c r="E120" s="75" t="s">
        <v>5</v>
      </c>
      <c r="F120" s="76" t="s">
        <v>46</v>
      </c>
      <c r="G120" s="73"/>
    </row>
    <row r="121" spans="1:7" x14ac:dyDescent="0.25">
      <c r="A121" s="11">
        <v>2</v>
      </c>
      <c r="B121" s="21">
        <v>37</v>
      </c>
      <c r="C121" s="22">
        <v>58.161949999999997</v>
      </c>
      <c r="D121" s="22">
        <v>34.827120000000001</v>
      </c>
      <c r="E121" s="22">
        <v>888.22</v>
      </c>
      <c r="F121" s="23">
        <v>4.5069999999999999E-2</v>
      </c>
    </row>
    <row r="122" spans="1:7" x14ac:dyDescent="0.25">
      <c r="A122" s="11">
        <v>3</v>
      </c>
      <c r="B122" s="18">
        <v>54</v>
      </c>
      <c r="C122">
        <v>45.21228</v>
      </c>
      <c r="D122">
        <v>37.417659999999998</v>
      </c>
      <c r="E122">
        <v>622.28</v>
      </c>
      <c r="F122" s="1">
        <v>0.10484</v>
      </c>
    </row>
    <row r="123" spans="1:7" x14ac:dyDescent="0.25">
      <c r="A123" s="11">
        <v>4</v>
      </c>
      <c r="B123" s="78">
        <v>67</v>
      </c>
      <c r="C123" s="6">
        <v>42.826239999999999</v>
      </c>
      <c r="D123" s="6">
        <v>35.810490000000001</v>
      </c>
      <c r="E123" s="6">
        <v>711.51</v>
      </c>
      <c r="F123" s="8">
        <v>0.33273000000000003</v>
      </c>
    </row>
    <row r="124" spans="1:7" x14ac:dyDescent="0.25">
      <c r="A124" s="12">
        <v>5</v>
      </c>
      <c r="B124" s="19">
        <v>56</v>
      </c>
      <c r="C124" s="2">
        <v>43.336799999999997</v>
      </c>
      <c r="D124" s="2">
        <v>33.905700000000003</v>
      </c>
      <c r="E124" s="2">
        <v>515.45000000000005</v>
      </c>
      <c r="F124" s="3">
        <v>0.124385</v>
      </c>
    </row>
    <row r="125" spans="1:7" x14ac:dyDescent="0.25">
      <c r="A125" s="74" t="s">
        <v>47</v>
      </c>
    </row>
    <row r="126" spans="1:7" x14ac:dyDescent="0.25">
      <c r="A126" s="74" t="s">
        <v>49</v>
      </c>
    </row>
    <row r="127" spans="1:7" x14ac:dyDescent="0.25">
      <c r="A127" s="74" t="s">
        <v>57</v>
      </c>
    </row>
    <row r="129" spans="1:5" x14ac:dyDescent="0.25">
      <c r="A129" s="158" t="s">
        <v>50</v>
      </c>
      <c r="B129" s="159"/>
      <c r="C129" s="159"/>
      <c r="D129" s="159"/>
      <c r="E129" s="160"/>
    </row>
    <row r="130" spans="1:5" x14ac:dyDescent="0.25">
      <c r="A130" s="161"/>
      <c r="B130" s="162"/>
      <c r="C130" s="162"/>
      <c r="D130" s="162"/>
      <c r="E130" s="163"/>
    </row>
    <row r="131" spans="1:5" x14ac:dyDescent="0.25">
      <c r="A131" s="77" t="s">
        <v>51</v>
      </c>
      <c r="B131" s="75" t="s">
        <v>2</v>
      </c>
      <c r="C131" s="75" t="s">
        <v>3</v>
      </c>
      <c r="D131" s="75" t="s">
        <v>4</v>
      </c>
      <c r="E131" s="76" t="s">
        <v>5</v>
      </c>
    </row>
    <row r="132" spans="1:5" x14ac:dyDescent="0.25">
      <c r="A132" s="11" t="s">
        <v>53</v>
      </c>
      <c r="B132" s="21">
        <v>53</v>
      </c>
      <c r="C132" s="22">
        <v>40.882829999999998</v>
      </c>
      <c r="D132" s="22">
        <v>36.189279999999997</v>
      </c>
      <c r="E132" s="23">
        <v>873.33</v>
      </c>
    </row>
    <row r="133" spans="1:5" x14ac:dyDescent="0.25">
      <c r="A133" s="12" t="s">
        <v>52</v>
      </c>
      <c r="B133" s="64">
        <v>67</v>
      </c>
      <c r="C133" s="64">
        <v>42.826239999999999</v>
      </c>
      <c r="D133" s="64">
        <v>35.810490000000001</v>
      </c>
      <c r="E133" s="65">
        <v>711.51</v>
      </c>
    </row>
    <row r="134" spans="1:5" x14ac:dyDescent="0.25">
      <c r="A134" s="74" t="s">
        <v>47</v>
      </c>
    </row>
    <row r="135" spans="1:5" x14ac:dyDescent="0.25">
      <c r="A135" s="74" t="s">
        <v>49</v>
      </c>
    </row>
    <row r="136" spans="1:5" x14ac:dyDescent="0.25">
      <c r="A136" s="74" t="s">
        <v>57</v>
      </c>
    </row>
    <row r="138" spans="1:5" x14ac:dyDescent="0.25">
      <c r="A138" s="158" t="s">
        <v>55</v>
      </c>
      <c r="B138" s="159"/>
      <c r="C138" s="159"/>
      <c r="D138" s="159"/>
      <c r="E138" s="160"/>
    </row>
    <row r="139" spans="1:5" x14ac:dyDescent="0.25">
      <c r="A139" s="164"/>
      <c r="B139" s="165"/>
      <c r="C139" s="165"/>
      <c r="D139" s="165"/>
      <c r="E139" s="166"/>
    </row>
    <row r="140" spans="1:5" x14ac:dyDescent="0.25">
      <c r="A140" s="77" t="s">
        <v>54</v>
      </c>
      <c r="B140" s="167" t="s">
        <v>2</v>
      </c>
      <c r="C140" s="167" t="s">
        <v>3</v>
      </c>
      <c r="D140" s="167" t="s">
        <v>4</v>
      </c>
      <c r="E140" s="168" t="s">
        <v>5</v>
      </c>
    </row>
    <row r="141" spans="1:5" x14ac:dyDescent="0.25">
      <c r="A141" s="169">
        <v>0</v>
      </c>
      <c r="B141" s="171">
        <v>100</v>
      </c>
      <c r="C141" s="171">
        <v>0.97540000000000004</v>
      </c>
      <c r="D141" s="171">
        <v>0.21682000000000001</v>
      </c>
      <c r="E141" s="172">
        <v>4.37</v>
      </c>
    </row>
    <row r="142" spans="1:5" x14ac:dyDescent="0.25">
      <c r="A142" s="169">
        <v>5</v>
      </c>
      <c r="B142" s="171">
        <v>100</v>
      </c>
      <c r="C142" s="171">
        <v>0.84018999999999999</v>
      </c>
      <c r="D142" s="171">
        <v>0.19639999999999999</v>
      </c>
      <c r="E142" s="172">
        <v>4.16</v>
      </c>
    </row>
    <row r="143" spans="1:5" x14ac:dyDescent="0.25">
      <c r="A143" s="169">
        <v>10</v>
      </c>
      <c r="B143" s="171">
        <v>100</v>
      </c>
      <c r="C143" s="171">
        <v>0.69250999999999996</v>
      </c>
      <c r="D143" s="171">
        <v>0.15142</v>
      </c>
      <c r="E143" s="172">
        <v>3.92</v>
      </c>
    </row>
    <row r="144" spans="1:5" x14ac:dyDescent="0.25">
      <c r="A144" s="169">
        <v>15</v>
      </c>
      <c r="B144" s="171">
        <v>100</v>
      </c>
      <c r="C144" s="171">
        <v>0.72831000000000001</v>
      </c>
      <c r="D144" s="171">
        <v>0.23447999999999999</v>
      </c>
      <c r="E144" s="172">
        <v>4.1399999999999997</v>
      </c>
    </row>
    <row r="145" spans="1:10" x14ac:dyDescent="0.25">
      <c r="A145" s="169">
        <v>20</v>
      </c>
      <c r="B145" s="171">
        <v>100</v>
      </c>
      <c r="C145" s="171">
        <v>0.58033000000000001</v>
      </c>
      <c r="D145" s="171">
        <v>0.14488000000000001</v>
      </c>
      <c r="E145" s="172">
        <v>4.43</v>
      </c>
    </row>
    <row r="146" spans="1:10" x14ac:dyDescent="0.25">
      <c r="A146" s="169">
        <v>25</v>
      </c>
      <c r="B146" s="171">
        <v>100</v>
      </c>
      <c r="C146" s="171">
        <v>0.52554999999999996</v>
      </c>
      <c r="D146" s="171">
        <v>0.16070000000000001</v>
      </c>
      <c r="E146" s="172">
        <v>4.62</v>
      </c>
    </row>
    <row r="147" spans="1:10" x14ac:dyDescent="0.25">
      <c r="A147" s="169">
        <v>30</v>
      </c>
      <c r="B147" s="171">
        <v>100</v>
      </c>
      <c r="C147" s="171">
        <v>0.59248000000000001</v>
      </c>
      <c r="D147" s="171">
        <v>0.23150000000000001</v>
      </c>
      <c r="E147" s="172">
        <v>6.01</v>
      </c>
    </row>
    <row r="148" spans="1:10" x14ac:dyDescent="0.25">
      <c r="A148" s="169">
        <v>35</v>
      </c>
      <c r="B148" s="171">
        <v>100</v>
      </c>
      <c r="C148" s="171">
        <v>0.76229999999999998</v>
      </c>
      <c r="D148" s="171">
        <v>0.35681000000000002</v>
      </c>
      <c r="E148" s="172">
        <v>8.4600000000000009</v>
      </c>
    </row>
    <row r="149" spans="1:10" x14ac:dyDescent="0.25">
      <c r="A149" s="169">
        <v>40</v>
      </c>
      <c r="B149" s="171">
        <v>100</v>
      </c>
      <c r="C149" s="171">
        <v>1.24708</v>
      </c>
      <c r="D149" s="171">
        <v>1.6763399999999999</v>
      </c>
      <c r="E149" s="172">
        <v>17.14</v>
      </c>
    </row>
    <row r="150" spans="1:10" x14ac:dyDescent="0.25">
      <c r="A150" s="169">
        <v>45</v>
      </c>
      <c r="B150" s="171">
        <v>99</v>
      </c>
      <c r="C150" s="171">
        <v>6.0758799999999997</v>
      </c>
      <c r="D150" s="171">
        <v>13.97677</v>
      </c>
      <c r="E150" s="172">
        <v>97.84</v>
      </c>
    </row>
    <row r="151" spans="1:10" x14ac:dyDescent="0.25">
      <c r="A151" s="169">
        <v>50</v>
      </c>
      <c r="B151" s="171">
        <v>100</v>
      </c>
      <c r="C151" s="171">
        <v>0.37961</v>
      </c>
      <c r="D151" s="171">
        <v>1.1449400000000001</v>
      </c>
      <c r="E151" s="172">
        <v>11.19</v>
      </c>
    </row>
    <row r="152" spans="1:10" x14ac:dyDescent="0.25">
      <c r="A152" s="169">
        <v>55</v>
      </c>
      <c r="B152" s="171">
        <v>100</v>
      </c>
      <c r="C152" s="171">
        <v>5.7299999999999999E-3</v>
      </c>
      <c r="D152" s="171">
        <v>9.4999999999999998E-3</v>
      </c>
      <c r="E152" s="172">
        <v>1.01</v>
      </c>
    </row>
    <row r="153" spans="1:10" x14ac:dyDescent="0.25">
      <c r="A153" s="169">
        <v>60</v>
      </c>
      <c r="B153" s="171">
        <v>100</v>
      </c>
      <c r="C153" s="171">
        <v>3.29E-3</v>
      </c>
      <c r="D153" s="171">
        <v>7.2000000000000005E-4</v>
      </c>
      <c r="E153" s="172">
        <v>1</v>
      </c>
      <c r="J153" t="s">
        <v>58</v>
      </c>
    </row>
    <row r="154" spans="1:10" x14ac:dyDescent="0.25">
      <c r="A154" s="169">
        <v>65</v>
      </c>
      <c r="B154" s="171">
        <v>100</v>
      </c>
      <c r="C154" s="171">
        <v>3.1700000000000001E-3</v>
      </c>
      <c r="D154" s="171">
        <v>5.9999999999999995E-4</v>
      </c>
      <c r="E154" s="172">
        <v>1</v>
      </c>
    </row>
    <row r="155" spans="1:10" x14ac:dyDescent="0.25">
      <c r="A155" s="169">
        <v>70</v>
      </c>
      <c r="B155" s="171">
        <v>100</v>
      </c>
      <c r="C155" s="171">
        <v>3.7699999999999999E-3</v>
      </c>
      <c r="D155" s="171">
        <v>8.6800000000000002E-3</v>
      </c>
      <c r="E155" s="172">
        <v>1</v>
      </c>
    </row>
    <row r="156" spans="1:10" x14ac:dyDescent="0.25">
      <c r="A156" s="169">
        <v>75</v>
      </c>
      <c r="B156" s="171">
        <v>100</v>
      </c>
      <c r="C156" s="171">
        <v>2.96E-3</v>
      </c>
      <c r="D156" s="171">
        <v>7.1000000000000002E-4</v>
      </c>
      <c r="E156" s="172">
        <v>1</v>
      </c>
    </row>
    <row r="157" spans="1:10" x14ac:dyDescent="0.25">
      <c r="A157" s="169">
        <v>80</v>
      </c>
      <c r="B157" s="171">
        <v>100</v>
      </c>
      <c r="C157" s="171">
        <v>3.5200000000000001E-3</v>
      </c>
      <c r="D157" s="171">
        <v>4.2100000000000002E-3</v>
      </c>
      <c r="E157" s="172">
        <v>1</v>
      </c>
    </row>
    <row r="158" spans="1:10" x14ac:dyDescent="0.25">
      <c r="A158" s="169">
        <v>85</v>
      </c>
      <c r="B158" s="171">
        <v>100</v>
      </c>
      <c r="C158" s="171">
        <v>3.14E-3</v>
      </c>
      <c r="D158" s="171">
        <v>5.4000000000000001E-4</v>
      </c>
      <c r="E158" s="172">
        <v>1</v>
      </c>
    </row>
    <row r="159" spans="1:10" x14ac:dyDescent="0.25">
      <c r="A159" s="169">
        <v>90</v>
      </c>
      <c r="B159" s="171">
        <v>100</v>
      </c>
      <c r="C159" s="171">
        <v>3.0500000000000002E-3</v>
      </c>
      <c r="D159" s="171">
        <v>4.2000000000000002E-4</v>
      </c>
      <c r="E159" s="172">
        <v>1</v>
      </c>
    </row>
    <row r="160" spans="1:10" x14ac:dyDescent="0.25">
      <c r="A160" s="169">
        <v>95</v>
      </c>
      <c r="B160" s="171">
        <v>100</v>
      </c>
      <c r="C160" s="171">
        <v>2.9099999999999998E-3</v>
      </c>
      <c r="D160" s="171">
        <v>4.6999999999999999E-4</v>
      </c>
      <c r="E160" s="172">
        <v>1</v>
      </c>
    </row>
    <row r="161" spans="1:5" x14ac:dyDescent="0.25">
      <c r="A161" s="170">
        <v>100</v>
      </c>
      <c r="B161" s="173">
        <v>100</v>
      </c>
      <c r="C161" s="173">
        <v>2.9099999999999998E-3</v>
      </c>
      <c r="D161" s="173">
        <v>4.2999999999999999E-4</v>
      </c>
      <c r="E161" s="174">
        <v>1</v>
      </c>
    </row>
    <row r="162" spans="1:5" x14ac:dyDescent="0.25">
      <c r="A162" s="74" t="s">
        <v>47</v>
      </c>
    </row>
    <row r="163" spans="1:5" x14ac:dyDescent="0.25">
      <c r="A163" s="74" t="s">
        <v>56</v>
      </c>
    </row>
    <row r="164" spans="1:5" x14ac:dyDescent="0.25">
      <c r="A164" s="74" t="s">
        <v>57</v>
      </c>
    </row>
  </sheetData>
  <mergeCells count="22">
    <mergeCell ref="A138:E139"/>
    <mergeCell ref="A118:F119"/>
    <mergeCell ref="A98:F99"/>
    <mergeCell ref="A101:A105"/>
    <mergeCell ref="A106:A110"/>
    <mergeCell ref="A111:A115"/>
    <mergeCell ref="A129:E130"/>
    <mergeCell ref="A1:M2"/>
    <mergeCell ref="A3:A4"/>
    <mergeCell ref="B3:E4"/>
    <mergeCell ref="F3:I4"/>
    <mergeCell ref="J3:M4"/>
    <mergeCell ref="A70:A71"/>
    <mergeCell ref="B70:E71"/>
    <mergeCell ref="F70:I71"/>
    <mergeCell ref="J70:M71"/>
    <mergeCell ref="A32:M33"/>
    <mergeCell ref="A34:A35"/>
    <mergeCell ref="B34:E35"/>
    <mergeCell ref="F34:I35"/>
    <mergeCell ref="J34:M35"/>
    <mergeCell ref="A68:M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2E39-0394-4D8F-9EE8-F49CB4AA17A7}">
  <dimension ref="A1:AA28"/>
  <sheetViews>
    <sheetView topLeftCell="J1" workbookViewId="0">
      <selection activeCell="Z28" sqref="Z28"/>
    </sheetView>
  </sheetViews>
  <sheetFormatPr defaultRowHeight="15" x14ac:dyDescent="0.25"/>
  <cols>
    <col min="1" max="1" width="17.140625" customWidth="1"/>
    <col min="2" max="2" width="13.85546875" customWidth="1"/>
    <col min="3" max="6" width="16.42578125" customWidth="1"/>
    <col min="10" max="13" width="14.85546875" customWidth="1"/>
    <col min="14" max="14" width="6.5703125" customWidth="1"/>
    <col min="15" max="15" width="8.28515625" customWidth="1"/>
    <col min="17" max="20" width="11.7109375" customWidth="1"/>
    <col min="21" max="21" width="8.28515625" customWidth="1"/>
    <col min="22" max="22" width="9.28515625" customWidth="1"/>
    <col min="23" max="23" width="10.140625" customWidth="1"/>
    <col min="24" max="27" width="12.5703125" customWidth="1"/>
  </cols>
  <sheetData>
    <row r="1" spans="1:27" x14ac:dyDescent="0.25">
      <c r="A1" s="127" t="s">
        <v>30</v>
      </c>
      <c r="B1" s="127"/>
      <c r="C1" s="127"/>
      <c r="D1" s="127"/>
      <c r="E1" s="127"/>
      <c r="F1" s="127"/>
      <c r="H1" s="137" t="s">
        <v>40</v>
      </c>
      <c r="I1" s="137"/>
      <c r="J1" s="137"/>
      <c r="K1" s="137"/>
      <c r="L1" s="137"/>
      <c r="M1" s="137"/>
      <c r="O1" s="138" t="s">
        <v>29</v>
      </c>
      <c r="P1" s="138"/>
      <c r="Q1" s="138"/>
      <c r="R1" s="138"/>
      <c r="S1" s="138"/>
      <c r="T1" s="138"/>
      <c r="V1" s="139" t="s">
        <v>41</v>
      </c>
      <c r="W1" s="139"/>
      <c r="X1" s="139"/>
      <c r="Y1" s="139"/>
      <c r="Z1" s="139"/>
      <c r="AA1" s="139"/>
    </row>
    <row r="2" spans="1:27" x14ac:dyDescent="0.25">
      <c r="A2" s="85"/>
      <c r="B2" s="85"/>
      <c r="C2" s="85"/>
      <c r="D2" s="85"/>
      <c r="E2" s="85"/>
      <c r="F2" s="85"/>
      <c r="H2" s="111"/>
      <c r="I2" s="111"/>
      <c r="J2" s="111"/>
      <c r="K2" s="111"/>
      <c r="L2" s="111"/>
      <c r="M2" s="111"/>
      <c r="O2" s="80"/>
      <c r="P2" s="80"/>
      <c r="Q2" s="80"/>
      <c r="R2" s="80"/>
      <c r="S2" s="80"/>
      <c r="T2" s="80"/>
      <c r="V2" s="140"/>
      <c r="W2" s="140"/>
      <c r="X2" s="140"/>
      <c r="Y2" s="140"/>
      <c r="Z2" s="140"/>
      <c r="AA2" s="140"/>
    </row>
    <row r="3" spans="1:27" x14ac:dyDescent="0.25">
      <c r="A3" s="39" t="s">
        <v>25</v>
      </c>
      <c r="B3" s="39" t="s">
        <v>36</v>
      </c>
      <c r="C3" s="38" t="s">
        <v>2</v>
      </c>
      <c r="D3" s="15" t="s">
        <v>3</v>
      </c>
      <c r="E3" s="15" t="s">
        <v>4</v>
      </c>
      <c r="F3" s="16" t="s">
        <v>5</v>
      </c>
      <c r="H3" s="39" t="s">
        <v>25</v>
      </c>
      <c r="I3" s="39" t="s">
        <v>36</v>
      </c>
      <c r="J3" s="38" t="s">
        <v>2</v>
      </c>
      <c r="K3" s="15" t="s">
        <v>3</v>
      </c>
      <c r="L3" s="15" t="s">
        <v>4</v>
      </c>
      <c r="M3" s="16" t="s">
        <v>5</v>
      </c>
      <c r="O3" s="39" t="s">
        <v>25</v>
      </c>
      <c r="P3" s="39" t="s">
        <v>36</v>
      </c>
      <c r="Q3" s="38" t="s">
        <v>2</v>
      </c>
      <c r="R3" s="15" t="s">
        <v>3</v>
      </c>
      <c r="S3" s="15" t="s">
        <v>4</v>
      </c>
      <c r="T3" s="16" t="s">
        <v>5</v>
      </c>
      <c r="V3" s="39" t="s">
        <v>25</v>
      </c>
      <c r="W3" s="39" t="s">
        <v>36</v>
      </c>
      <c r="X3" s="38" t="s">
        <v>2</v>
      </c>
      <c r="Y3" s="15" t="s">
        <v>3</v>
      </c>
      <c r="Z3" s="15" t="s">
        <v>4</v>
      </c>
      <c r="AA3" s="16" t="s">
        <v>5</v>
      </c>
    </row>
    <row r="4" spans="1:27" x14ac:dyDescent="0.25">
      <c r="A4" s="134" t="s">
        <v>20</v>
      </c>
      <c r="B4" s="36">
        <v>1</v>
      </c>
      <c r="C4" s="21">
        <v>100</v>
      </c>
      <c r="D4" s="22">
        <v>5.8702900000000002E-2</v>
      </c>
      <c r="E4" s="22">
        <v>6.5551829000000006E-2</v>
      </c>
      <c r="F4" s="23">
        <v>24.89</v>
      </c>
      <c r="H4" s="136" t="s">
        <v>20</v>
      </c>
      <c r="I4" s="36">
        <v>1</v>
      </c>
      <c r="J4" s="21">
        <v>100</v>
      </c>
      <c r="K4" s="22">
        <v>5.3249800000000007E-2</v>
      </c>
      <c r="L4" s="22">
        <v>6.0944923156448859E-2</v>
      </c>
      <c r="M4" s="23">
        <v>24.17</v>
      </c>
      <c r="O4" s="136" t="s">
        <v>20</v>
      </c>
      <c r="P4" s="36">
        <v>1</v>
      </c>
      <c r="Q4" s="49">
        <v>100</v>
      </c>
      <c r="R4" s="50">
        <v>0.21668879999999999</v>
      </c>
      <c r="S4" s="50">
        <v>0.23481624600000001</v>
      </c>
      <c r="T4" s="51">
        <v>76.31</v>
      </c>
      <c r="V4" s="136" t="s">
        <v>20</v>
      </c>
      <c r="W4" s="36">
        <v>1</v>
      </c>
      <c r="X4" s="49">
        <v>99</v>
      </c>
      <c r="Y4" s="50">
        <v>5.95071E-2</v>
      </c>
      <c r="Z4" s="50">
        <v>5.4566079000000003E-2</v>
      </c>
      <c r="AA4" s="51">
        <v>104.06</v>
      </c>
    </row>
    <row r="5" spans="1:27" x14ac:dyDescent="0.25">
      <c r="A5" s="134"/>
      <c r="B5" s="36">
        <v>2</v>
      </c>
      <c r="C5" s="18">
        <v>100</v>
      </c>
      <c r="D5">
        <v>5.3761099999999999E-2</v>
      </c>
      <c r="E5">
        <v>6.1561043000000003E-2</v>
      </c>
      <c r="F5" s="1">
        <v>24.24</v>
      </c>
      <c r="H5" s="134"/>
      <c r="I5" s="36">
        <v>2</v>
      </c>
      <c r="J5" s="43">
        <v>100</v>
      </c>
      <c r="K5" s="44">
        <v>7.1468100000000007E-2</v>
      </c>
      <c r="L5" s="44">
        <v>8.4463455126516623E-2</v>
      </c>
      <c r="M5" s="45">
        <v>30.41</v>
      </c>
      <c r="O5" s="134"/>
      <c r="P5" s="36">
        <v>2</v>
      </c>
      <c r="Q5" s="18">
        <v>100</v>
      </c>
      <c r="R5">
        <v>0.2064801</v>
      </c>
      <c r="S5">
        <v>0.19488438799999999</v>
      </c>
      <c r="T5" s="1">
        <v>78.489999999999995</v>
      </c>
      <c r="V5" s="134"/>
      <c r="W5" s="36">
        <v>2</v>
      </c>
      <c r="X5" s="18">
        <v>100</v>
      </c>
      <c r="Y5">
        <v>6.1020399999999989E-2</v>
      </c>
      <c r="Z5">
        <v>5.1759212831820577E-2</v>
      </c>
      <c r="AA5" s="1">
        <v>117.53</v>
      </c>
    </row>
    <row r="6" spans="1:27" x14ac:dyDescent="0.25">
      <c r="A6" s="134"/>
      <c r="B6" s="36">
        <v>3</v>
      </c>
      <c r="C6" s="43">
        <v>100</v>
      </c>
      <c r="D6" s="44">
        <v>5.6891499999999998E-2</v>
      </c>
      <c r="E6" s="44">
        <v>7.5875490000000004E-2</v>
      </c>
      <c r="F6" s="45">
        <v>24.16</v>
      </c>
      <c r="H6" s="134"/>
      <c r="I6" s="36">
        <v>3</v>
      </c>
      <c r="J6" s="18">
        <v>100</v>
      </c>
      <c r="K6">
        <v>5.7498099999999983E-2</v>
      </c>
      <c r="L6">
        <v>7.770159811019843E-2</v>
      </c>
      <c r="M6" s="1">
        <v>25.41</v>
      </c>
      <c r="O6" s="134"/>
      <c r="P6" s="36">
        <v>3</v>
      </c>
      <c r="Q6" s="18">
        <v>100</v>
      </c>
      <c r="R6">
        <v>0.2104608</v>
      </c>
      <c r="S6">
        <v>0.263350205</v>
      </c>
      <c r="T6" s="1">
        <v>77.53</v>
      </c>
      <c r="V6" s="134"/>
      <c r="W6" s="36">
        <v>3</v>
      </c>
      <c r="X6" s="59">
        <v>100</v>
      </c>
      <c r="Y6" s="60">
        <v>5.3665900000000002E-2</v>
      </c>
      <c r="Z6" s="60">
        <v>4.9768614000000003E-2</v>
      </c>
      <c r="AA6" s="61">
        <v>99.12</v>
      </c>
    </row>
    <row r="7" spans="1:27" x14ac:dyDescent="0.25">
      <c r="A7" s="134"/>
      <c r="B7" s="36">
        <v>4</v>
      </c>
      <c r="C7" s="18">
        <v>100</v>
      </c>
      <c r="D7">
        <v>5.6053800000000001E-2</v>
      </c>
      <c r="E7">
        <v>6.2169278000000001E-2</v>
      </c>
      <c r="F7" s="1">
        <v>25.56</v>
      </c>
      <c r="H7" s="134"/>
      <c r="I7" s="36">
        <v>4</v>
      </c>
      <c r="J7" s="18">
        <v>100</v>
      </c>
      <c r="K7">
        <v>5.8652999999999997E-2</v>
      </c>
      <c r="L7">
        <v>6.8328088217027863E-2</v>
      </c>
      <c r="M7" s="1">
        <v>26.19</v>
      </c>
      <c r="O7" s="134"/>
      <c r="P7" s="36">
        <v>4</v>
      </c>
      <c r="Q7" s="46">
        <v>100</v>
      </c>
      <c r="R7" s="47">
        <v>0.1585667</v>
      </c>
      <c r="S7" s="47">
        <v>0.14498807399999999</v>
      </c>
      <c r="T7" s="48">
        <v>63.94</v>
      </c>
      <c r="V7" s="134"/>
      <c r="W7" s="36">
        <v>4</v>
      </c>
      <c r="X7" s="18">
        <v>100</v>
      </c>
      <c r="Y7">
        <v>5.9037199999999998E-2</v>
      </c>
      <c r="Z7">
        <v>4.8396697000000002E-2</v>
      </c>
      <c r="AA7" s="1">
        <v>107.46</v>
      </c>
    </row>
    <row r="8" spans="1:27" x14ac:dyDescent="0.25">
      <c r="A8" s="135"/>
      <c r="B8" s="37">
        <v>5</v>
      </c>
      <c r="C8" s="40">
        <v>100</v>
      </c>
      <c r="D8" s="41">
        <v>4.7049100000000003E-2</v>
      </c>
      <c r="E8" s="41">
        <v>5.7903586999999999E-2</v>
      </c>
      <c r="F8" s="42">
        <v>21.82</v>
      </c>
      <c r="H8" s="135"/>
      <c r="I8" s="37">
        <v>5</v>
      </c>
      <c r="J8" s="56">
        <v>100</v>
      </c>
      <c r="K8" s="57">
        <v>5.03054E-2</v>
      </c>
      <c r="L8" s="57">
        <v>5.2162812000000003E-2</v>
      </c>
      <c r="M8" s="58">
        <v>22.63</v>
      </c>
      <c r="O8" s="135"/>
      <c r="P8" s="37">
        <v>5</v>
      </c>
      <c r="Q8" s="19">
        <v>100</v>
      </c>
      <c r="R8" s="2">
        <v>0.2065351</v>
      </c>
      <c r="S8" s="2">
        <v>0.23160564</v>
      </c>
      <c r="T8" s="3">
        <v>80.75</v>
      </c>
      <c r="V8" s="135"/>
      <c r="W8" s="37">
        <v>5</v>
      </c>
      <c r="X8" s="19">
        <v>100</v>
      </c>
      <c r="Y8" s="2">
        <v>5.36861E-2</v>
      </c>
      <c r="Z8" s="2">
        <v>4.6027723999999999E-2</v>
      </c>
      <c r="AA8" s="3">
        <v>101.34</v>
      </c>
    </row>
    <row r="9" spans="1:27" x14ac:dyDescent="0.25">
      <c r="A9" s="136" t="s">
        <v>21</v>
      </c>
      <c r="B9" s="35">
        <v>1</v>
      </c>
      <c r="C9" s="21">
        <v>100</v>
      </c>
      <c r="D9" s="22">
        <v>5.4469299999999998E-2</v>
      </c>
      <c r="E9" s="22">
        <v>0.158323244</v>
      </c>
      <c r="F9" s="23">
        <v>5.34</v>
      </c>
      <c r="H9" s="136" t="s">
        <v>21</v>
      </c>
      <c r="I9" s="35">
        <v>1</v>
      </c>
      <c r="J9" s="21">
        <v>100</v>
      </c>
      <c r="K9" s="22">
        <v>6.6755999999999996E-2</v>
      </c>
      <c r="L9" s="22">
        <v>0.245014921</v>
      </c>
      <c r="M9" s="23">
        <v>6.65</v>
      </c>
      <c r="O9" s="136" t="s">
        <v>21</v>
      </c>
      <c r="P9" s="35">
        <v>1</v>
      </c>
      <c r="Q9" s="21">
        <v>100</v>
      </c>
      <c r="R9" s="22">
        <v>0.26600960000000001</v>
      </c>
      <c r="S9" s="22">
        <v>0.54570425899999997</v>
      </c>
      <c r="T9" s="23">
        <v>27.74</v>
      </c>
      <c r="V9" s="136" t="s">
        <v>21</v>
      </c>
      <c r="W9" s="35">
        <v>1</v>
      </c>
      <c r="X9" s="21">
        <v>95</v>
      </c>
      <c r="Y9" s="22">
        <v>0.56055319999999997</v>
      </c>
      <c r="Z9" s="22">
        <v>1.998650306</v>
      </c>
      <c r="AA9" s="23">
        <v>189.4</v>
      </c>
    </row>
    <row r="10" spans="1:27" x14ac:dyDescent="0.25">
      <c r="A10" s="134"/>
      <c r="B10" s="36">
        <v>2</v>
      </c>
      <c r="C10" s="43">
        <v>100</v>
      </c>
      <c r="D10" s="44">
        <v>8.7796200000000005E-2</v>
      </c>
      <c r="E10" s="44">
        <v>0.30513714600000003</v>
      </c>
      <c r="F10" s="45">
        <v>7.92</v>
      </c>
      <c r="H10" s="134"/>
      <c r="I10" s="36">
        <v>2</v>
      </c>
      <c r="J10" s="18">
        <v>100</v>
      </c>
      <c r="K10">
        <v>4.4179999999999997E-2</v>
      </c>
      <c r="L10">
        <v>0.15424908000000001</v>
      </c>
      <c r="M10" s="1">
        <v>4.58</v>
      </c>
      <c r="O10" s="134"/>
      <c r="P10" s="36">
        <v>2</v>
      </c>
      <c r="Q10" s="46">
        <v>100</v>
      </c>
      <c r="R10" s="47">
        <v>0.39301550000000002</v>
      </c>
      <c r="S10" s="47">
        <v>0.86340397700000004</v>
      </c>
      <c r="T10" s="48">
        <v>39.450000000000003</v>
      </c>
      <c r="V10" s="134"/>
      <c r="W10" s="36">
        <v>2</v>
      </c>
      <c r="X10" s="43">
        <v>90</v>
      </c>
      <c r="Y10" s="44">
        <v>0.3767354</v>
      </c>
      <c r="Z10" s="44">
        <v>1.2306317170000001</v>
      </c>
      <c r="AA10" s="45">
        <v>128.78</v>
      </c>
    </row>
    <row r="11" spans="1:27" x14ac:dyDescent="0.25">
      <c r="A11" s="134"/>
      <c r="B11" s="36">
        <v>3</v>
      </c>
      <c r="C11" s="18">
        <v>100</v>
      </c>
      <c r="D11">
        <v>6.2006600000000002E-2</v>
      </c>
      <c r="E11">
        <v>0.25134330500000002</v>
      </c>
      <c r="F11" s="1">
        <v>5.88</v>
      </c>
      <c r="H11" s="134"/>
      <c r="I11" s="36">
        <v>3</v>
      </c>
      <c r="J11" s="43">
        <v>100</v>
      </c>
      <c r="K11" s="44">
        <v>0.14394779999999999</v>
      </c>
      <c r="L11" s="44">
        <v>0.66910760899999999</v>
      </c>
      <c r="M11" s="45">
        <v>12.81</v>
      </c>
      <c r="O11" s="134"/>
      <c r="P11" s="36">
        <v>3</v>
      </c>
      <c r="Q11" s="18">
        <v>100</v>
      </c>
      <c r="R11">
        <v>0.42495329999999998</v>
      </c>
      <c r="S11">
        <v>0.86954734</v>
      </c>
      <c r="T11" s="1">
        <v>42.53</v>
      </c>
      <c r="V11" s="134"/>
      <c r="W11" s="36">
        <v>3</v>
      </c>
      <c r="X11" s="18">
        <v>95</v>
      </c>
      <c r="Y11">
        <v>0.37710450000000001</v>
      </c>
      <c r="Z11">
        <v>1.1816259200000001</v>
      </c>
      <c r="AA11" s="1">
        <v>117.63</v>
      </c>
    </row>
    <row r="12" spans="1:27" x14ac:dyDescent="0.25">
      <c r="A12" s="134"/>
      <c r="B12" s="36">
        <v>4</v>
      </c>
      <c r="C12" s="18">
        <v>100</v>
      </c>
      <c r="D12">
        <v>8.7024699999999997E-2</v>
      </c>
      <c r="E12">
        <v>0.21446928800000001</v>
      </c>
      <c r="F12" s="1">
        <v>8.15</v>
      </c>
      <c r="H12" s="134"/>
      <c r="I12" s="36">
        <v>4</v>
      </c>
      <c r="J12" s="59">
        <v>100</v>
      </c>
      <c r="K12" s="60">
        <v>3.7472499999999999E-2</v>
      </c>
      <c r="L12" s="60">
        <v>8.2992073E-2</v>
      </c>
      <c r="M12" s="61">
        <v>4.2</v>
      </c>
      <c r="O12" s="134"/>
      <c r="P12" s="36">
        <v>4</v>
      </c>
      <c r="Q12" s="18">
        <v>100</v>
      </c>
      <c r="R12">
        <v>0.39786480000000002</v>
      </c>
      <c r="S12">
        <v>0.78751131799999996</v>
      </c>
      <c r="T12" s="1">
        <v>39.46</v>
      </c>
      <c r="V12" s="134"/>
      <c r="W12" s="36">
        <v>4</v>
      </c>
      <c r="X12" s="59">
        <v>97</v>
      </c>
      <c r="Y12" s="60">
        <v>0.89470620000000001</v>
      </c>
      <c r="Z12" s="60">
        <v>2.6144567749999998</v>
      </c>
      <c r="AA12" s="61">
        <v>256.07</v>
      </c>
    </row>
    <row r="13" spans="1:27" x14ac:dyDescent="0.25">
      <c r="A13" s="135"/>
      <c r="B13" s="37">
        <v>5</v>
      </c>
      <c r="C13" s="40">
        <v>100</v>
      </c>
      <c r="D13" s="41">
        <v>4.7260999999999997E-2</v>
      </c>
      <c r="E13" s="41">
        <v>7.5012220000000004E-2</v>
      </c>
      <c r="F13" s="42">
        <v>4.38</v>
      </c>
      <c r="H13" s="135"/>
      <c r="I13" s="37">
        <v>5</v>
      </c>
      <c r="J13" s="19">
        <v>100</v>
      </c>
      <c r="K13" s="2">
        <v>8.3935300000000004E-2</v>
      </c>
      <c r="L13" s="2">
        <v>0.26532199099999998</v>
      </c>
      <c r="M13" s="3">
        <v>7.51</v>
      </c>
      <c r="O13" s="135"/>
      <c r="P13" s="37">
        <v>5</v>
      </c>
      <c r="Q13" s="52">
        <v>100</v>
      </c>
      <c r="R13" s="53">
        <v>0.44752619999999999</v>
      </c>
      <c r="S13" s="53">
        <v>0.720673008</v>
      </c>
      <c r="T13" s="54">
        <v>45.65</v>
      </c>
      <c r="V13" s="135"/>
      <c r="W13" s="37">
        <v>5</v>
      </c>
      <c r="X13" s="19">
        <v>95</v>
      </c>
      <c r="Y13" s="2">
        <v>0.57108360000000002</v>
      </c>
      <c r="Z13" s="2">
        <v>2.0917415880000001</v>
      </c>
      <c r="AA13" s="3">
        <v>189.86</v>
      </c>
    </row>
    <row r="14" spans="1:27" x14ac:dyDescent="0.25">
      <c r="A14" s="136" t="s">
        <v>22</v>
      </c>
      <c r="B14" s="35">
        <v>1</v>
      </c>
      <c r="C14" s="21">
        <v>100</v>
      </c>
      <c r="D14" s="22">
        <v>5.8039417999999952</v>
      </c>
      <c r="E14" s="22">
        <v>10.88945627</v>
      </c>
      <c r="F14" s="23">
        <v>96.32</v>
      </c>
      <c r="H14" s="136" t="s">
        <v>22</v>
      </c>
      <c r="I14" s="35">
        <v>1</v>
      </c>
      <c r="J14" s="59">
        <v>98</v>
      </c>
      <c r="K14" s="60">
        <v>1.8404092000000001</v>
      </c>
      <c r="L14" s="60">
        <v>3.0888635780244194</v>
      </c>
      <c r="M14" s="61">
        <v>37.229999999999997</v>
      </c>
      <c r="O14" s="136" t="s">
        <v>22</v>
      </c>
      <c r="P14" s="35">
        <v>1</v>
      </c>
      <c r="Q14" s="43">
        <v>95</v>
      </c>
      <c r="R14" s="44">
        <v>17.0322137</v>
      </c>
      <c r="S14" s="44">
        <v>28.627545779999998</v>
      </c>
      <c r="T14" s="45">
        <v>456.61</v>
      </c>
      <c r="V14" s="136" t="s">
        <v>22</v>
      </c>
      <c r="W14" s="35">
        <v>1</v>
      </c>
      <c r="X14" s="18">
        <v>78</v>
      </c>
      <c r="Y14">
        <v>9.5521625999999973</v>
      </c>
      <c r="Z14">
        <v>24.245529374502464</v>
      </c>
      <c r="AA14" s="1">
        <v>747.83</v>
      </c>
    </row>
    <row r="15" spans="1:27" x14ac:dyDescent="0.25">
      <c r="A15" s="134"/>
      <c r="B15" s="36">
        <v>2</v>
      </c>
      <c r="C15" s="43">
        <v>99</v>
      </c>
      <c r="D15" s="44">
        <v>8.8604274000000007</v>
      </c>
      <c r="E15" s="44">
        <v>20.855376280000002</v>
      </c>
      <c r="F15" s="45">
        <v>93.19</v>
      </c>
      <c r="H15" s="134"/>
      <c r="I15" s="36">
        <v>2</v>
      </c>
      <c r="J15" s="43">
        <v>96</v>
      </c>
      <c r="K15" s="44">
        <v>3.0573638999999999</v>
      </c>
      <c r="L15" s="44">
        <v>8.6984862951559574</v>
      </c>
      <c r="M15" s="45">
        <v>57.26</v>
      </c>
      <c r="O15" s="134"/>
      <c r="P15" s="36">
        <v>2</v>
      </c>
      <c r="Q15" s="18">
        <v>96</v>
      </c>
      <c r="R15">
        <v>20.310268399999998</v>
      </c>
      <c r="S15">
        <v>33.220325099948653</v>
      </c>
      <c r="T15" s="1">
        <v>597.97</v>
      </c>
      <c r="V15" s="134"/>
      <c r="W15" s="36">
        <v>2</v>
      </c>
      <c r="X15" s="18">
        <v>82</v>
      </c>
      <c r="Y15">
        <v>9.6703048999999979</v>
      </c>
      <c r="Z15">
        <v>27.044885555687443</v>
      </c>
      <c r="AA15" s="1">
        <v>835.55</v>
      </c>
    </row>
    <row r="16" spans="1:27" x14ac:dyDescent="0.25">
      <c r="A16" s="134"/>
      <c r="B16" s="36">
        <v>3</v>
      </c>
      <c r="C16" s="18">
        <v>99</v>
      </c>
      <c r="D16">
        <v>8.0432451999999994</v>
      </c>
      <c r="E16">
        <v>18.858616390000002</v>
      </c>
      <c r="F16" s="1">
        <v>99</v>
      </c>
      <c r="H16" s="134"/>
      <c r="I16" s="36">
        <v>3</v>
      </c>
      <c r="J16" s="18">
        <v>98</v>
      </c>
      <c r="K16">
        <v>2.3310912000000013</v>
      </c>
      <c r="L16">
        <v>4.6779540365241825</v>
      </c>
      <c r="M16" s="1">
        <v>39.119999999999997</v>
      </c>
      <c r="O16" s="134"/>
      <c r="P16" s="36">
        <v>3</v>
      </c>
      <c r="Q16" s="18">
        <v>97</v>
      </c>
      <c r="R16">
        <v>18.738668000000001</v>
      </c>
      <c r="S16">
        <v>28.42014691</v>
      </c>
      <c r="T16" s="1">
        <v>532.59</v>
      </c>
      <c r="V16" s="134"/>
      <c r="W16" s="36">
        <v>3</v>
      </c>
      <c r="X16" s="43">
        <v>76</v>
      </c>
      <c r="Y16" s="44">
        <v>3.8604329000000002</v>
      </c>
      <c r="Z16" s="44">
        <v>9.490665223001896</v>
      </c>
      <c r="AA16" s="45">
        <v>241.81</v>
      </c>
    </row>
    <row r="17" spans="1:27" x14ac:dyDescent="0.25">
      <c r="A17" s="134"/>
      <c r="B17" s="36">
        <v>4</v>
      </c>
      <c r="C17" s="18">
        <v>99</v>
      </c>
      <c r="D17">
        <v>5.1819009999999999</v>
      </c>
      <c r="E17">
        <v>17.33064224</v>
      </c>
      <c r="F17" s="1">
        <v>97.03</v>
      </c>
      <c r="H17" s="134"/>
      <c r="I17" s="36">
        <v>4</v>
      </c>
      <c r="J17" s="18">
        <v>96</v>
      </c>
      <c r="K17">
        <v>3.8729214000000001</v>
      </c>
      <c r="L17">
        <v>9.8301970910000005</v>
      </c>
      <c r="M17" s="1">
        <v>52.41</v>
      </c>
      <c r="O17" s="134"/>
      <c r="P17" s="36">
        <v>4</v>
      </c>
      <c r="Q17" s="46">
        <v>98</v>
      </c>
      <c r="R17" s="47">
        <v>21.145948400000002</v>
      </c>
      <c r="S17" s="47">
        <v>31.306951430000002</v>
      </c>
      <c r="T17" s="48">
        <v>440.26</v>
      </c>
      <c r="V17" s="134"/>
      <c r="W17" s="36">
        <v>4</v>
      </c>
      <c r="X17" s="18">
        <v>79</v>
      </c>
      <c r="Y17">
        <v>7.3069819000000003</v>
      </c>
      <c r="Z17">
        <v>19.134746960000001</v>
      </c>
      <c r="AA17" s="1">
        <v>421.9</v>
      </c>
    </row>
    <row r="18" spans="1:27" x14ac:dyDescent="0.25">
      <c r="A18" s="135"/>
      <c r="B18" s="37">
        <v>5</v>
      </c>
      <c r="C18" s="40">
        <v>100</v>
      </c>
      <c r="D18" s="41">
        <v>5.3076968000000004</v>
      </c>
      <c r="E18" s="41">
        <v>12.00178816</v>
      </c>
      <c r="F18" s="42">
        <v>95.41</v>
      </c>
      <c r="H18" s="135"/>
      <c r="I18" s="37">
        <v>5</v>
      </c>
      <c r="J18" s="19">
        <v>96</v>
      </c>
      <c r="K18" s="2">
        <v>2.3858060999999999</v>
      </c>
      <c r="L18" s="2">
        <v>4.8443184490000002</v>
      </c>
      <c r="M18" s="3">
        <v>41.88</v>
      </c>
      <c r="O18" s="135"/>
      <c r="P18" s="37">
        <v>5</v>
      </c>
      <c r="Q18" s="19">
        <v>97</v>
      </c>
      <c r="R18" s="2">
        <v>17.169926499999999</v>
      </c>
      <c r="S18" s="2">
        <v>26.569264870000001</v>
      </c>
      <c r="T18" s="3">
        <v>492.37</v>
      </c>
      <c r="V18" s="135"/>
      <c r="W18" s="37">
        <v>5</v>
      </c>
      <c r="X18" s="56">
        <v>84</v>
      </c>
      <c r="Y18" s="57">
        <v>9.7479144000000026</v>
      </c>
      <c r="Z18" s="57">
        <v>36.845294917747061</v>
      </c>
      <c r="AA18" s="58">
        <v>632.36</v>
      </c>
    </row>
    <row r="21" spans="1:27" x14ac:dyDescent="0.25">
      <c r="A21" s="132" t="s">
        <v>32</v>
      </c>
      <c r="B21" s="133"/>
      <c r="C21" s="38" t="s">
        <v>2</v>
      </c>
      <c r="D21" s="15" t="s">
        <v>3</v>
      </c>
      <c r="E21" s="15" t="s">
        <v>4</v>
      </c>
      <c r="F21" s="16" t="s">
        <v>5</v>
      </c>
      <c r="H21" s="132" t="s">
        <v>32</v>
      </c>
      <c r="I21" s="133"/>
      <c r="J21" s="38" t="s">
        <v>2</v>
      </c>
      <c r="K21" s="15" t="s">
        <v>3</v>
      </c>
      <c r="L21" s="15" t="s">
        <v>4</v>
      </c>
      <c r="M21" s="16" t="s">
        <v>5</v>
      </c>
      <c r="O21" s="132" t="s">
        <v>32</v>
      </c>
      <c r="P21" s="133"/>
      <c r="Q21" s="38" t="s">
        <v>2</v>
      </c>
      <c r="R21" s="15" t="s">
        <v>3</v>
      </c>
      <c r="S21" s="15" t="s">
        <v>4</v>
      </c>
      <c r="T21" s="16" t="s">
        <v>5</v>
      </c>
      <c r="V21" s="132" t="s">
        <v>32</v>
      </c>
      <c r="W21" s="133"/>
      <c r="X21" s="38" t="s">
        <v>2</v>
      </c>
      <c r="Y21" s="15" t="s">
        <v>3</v>
      </c>
      <c r="Z21" s="15" t="s">
        <v>4</v>
      </c>
      <c r="AA21" s="16" t="s">
        <v>5</v>
      </c>
    </row>
    <row r="22" spans="1:27" x14ac:dyDescent="0.25">
      <c r="A22" s="128" t="s">
        <v>20</v>
      </c>
      <c r="B22" s="129"/>
      <c r="C22" s="32">
        <f>AVERAGE(C4:C8)</f>
        <v>100</v>
      </c>
      <c r="D22" s="32">
        <f t="shared" ref="D22:F22" si="0">AVERAGE(D4:D8)</f>
        <v>5.4491680000000001E-2</v>
      </c>
      <c r="E22" s="32">
        <f t="shared" si="0"/>
        <v>6.4612245400000004E-2</v>
      </c>
      <c r="F22" s="23">
        <f t="shared" si="0"/>
        <v>24.133999999999997</v>
      </c>
      <c r="H22" s="128" t="s">
        <v>20</v>
      </c>
      <c r="I22" s="129"/>
      <c r="J22" s="32">
        <f>AVERAGE(J4:J8)</f>
        <v>100</v>
      </c>
      <c r="K22" s="22">
        <f t="shared" ref="K22:M22" si="1">AVERAGE(K4:K8)</f>
        <v>5.8234880000000003E-2</v>
      </c>
      <c r="L22" s="32">
        <f t="shared" si="1"/>
        <v>6.8720175322038363E-2</v>
      </c>
      <c r="M22" s="23">
        <f t="shared" si="1"/>
        <v>25.762</v>
      </c>
      <c r="O22" s="128" t="s">
        <v>20</v>
      </c>
      <c r="P22" s="129"/>
      <c r="Q22" s="32">
        <f>AVERAGE(Q4:Q8)</f>
        <v>100</v>
      </c>
      <c r="R22" s="22">
        <f t="shared" ref="R22:T22" si="2">AVERAGE(R4:R8)</f>
        <v>0.19974629999999999</v>
      </c>
      <c r="S22" s="32">
        <f t="shared" si="2"/>
        <v>0.21392891060000002</v>
      </c>
      <c r="T22" s="23">
        <f t="shared" si="2"/>
        <v>75.403999999999996</v>
      </c>
      <c r="V22" s="128" t="s">
        <v>20</v>
      </c>
      <c r="W22" s="129"/>
      <c r="X22" s="32">
        <f>AVERAGE(X4:X8)</f>
        <v>99.8</v>
      </c>
      <c r="Y22" s="22">
        <f t="shared" ref="Y22:AA22" si="3">AVERAGE(Y4:Y8)</f>
        <v>5.7383340000000005E-2</v>
      </c>
      <c r="Z22" s="32">
        <f t="shared" si="3"/>
        <v>5.0103665366364111E-2</v>
      </c>
      <c r="AA22" s="23">
        <f t="shared" si="3"/>
        <v>105.902</v>
      </c>
    </row>
    <row r="23" spans="1:27" x14ac:dyDescent="0.25">
      <c r="A23" s="128" t="s">
        <v>21</v>
      </c>
      <c r="B23" s="129"/>
      <c r="C23" s="33">
        <f>AVERAGE(C9:C13)</f>
        <v>100</v>
      </c>
      <c r="D23" s="33">
        <f t="shared" ref="D23:F23" si="4">AVERAGE(D9:D13)</f>
        <v>6.771155999999999E-2</v>
      </c>
      <c r="E23" s="33">
        <f t="shared" si="4"/>
        <v>0.20085704060000001</v>
      </c>
      <c r="F23" s="1">
        <f t="shared" si="4"/>
        <v>6.3339999999999996</v>
      </c>
      <c r="H23" s="128" t="s">
        <v>21</v>
      </c>
      <c r="I23" s="129"/>
      <c r="J23" s="33">
        <f>AVERAGE(J9:J13)</f>
        <v>100</v>
      </c>
      <c r="K23">
        <f t="shared" ref="K23:M23" si="5">AVERAGE(K9:K13)</f>
        <v>7.5258320000000004E-2</v>
      </c>
      <c r="L23" s="33">
        <f t="shared" si="5"/>
        <v>0.2833371348</v>
      </c>
      <c r="M23" s="1">
        <f t="shared" si="5"/>
        <v>7.15</v>
      </c>
      <c r="O23" s="128" t="s">
        <v>21</v>
      </c>
      <c r="P23" s="129"/>
      <c r="Q23" s="33">
        <f>AVERAGE(Q9:Q13)</f>
        <v>100</v>
      </c>
      <c r="R23">
        <f t="shared" ref="R23:T23" si="6">AVERAGE(R9:R13)</f>
        <v>0.38587388</v>
      </c>
      <c r="S23" s="33">
        <f t="shared" si="6"/>
        <v>0.75736798039999997</v>
      </c>
      <c r="T23" s="1">
        <f t="shared" si="6"/>
        <v>38.966000000000001</v>
      </c>
      <c r="V23" s="128" t="s">
        <v>21</v>
      </c>
      <c r="W23" s="129"/>
      <c r="X23" s="33">
        <f>AVERAGE(X9:X13)</f>
        <v>94.4</v>
      </c>
      <c r="Y23">
        <f t="shared" ref="Y23:AA23" si="7">AVERAGE(Y9:Y13)</f>
        <v>0.55603658</v>
      </c>
      <c r="Z23" s="33">
        <f t="shared" si="7"/>
        <v>1.8234212612</v>
      </c>
      <c r="AA23" s="1">
        <f t="shared" si="7"/>
        <v>176.34800000000001</v>
      </c>
    </row>
    <row r="24" spans="1:27" x14ac:dyDescent="0.25">
      <c r="A24" s="130" t="s">
        <v>22</v>
      </c>
      <c r="B24" s="131"/>
      <c r="C24" s="34">
        <f>AVERAGE(C14:C18)</f>
        <v>99.4</v>
      </c>
      <c r="D24" s="34">
        <f>AVERAGE(D14:D18)</f>
        <v>6.6394424399999989</v>
      </c>
      <c r="E24" s="34">
        <f>AVERAGE(E14:E18)</f>
        <v>15.987175868000003</v>
      </c>
      <c r="F24" s="3">
        <f>AVERAGE(F14:F18)</f>
        <v>96.189999999999984</v>
      </c>
      <c r="H24" s="130" t="s">
        <v>22</v>
      </c>
      <c r="I24" s="131"/>
      <c r="J24" s="34">
        <f>AVERAGE(J14:J18)</f>
        <v>96.8</v>
      </c>
      <c r="K24" s="2">
        <f>AVERAGE(K14:K18)</f>
        <v>2.6975183600000001</v>
      </c>
      <c r="L24" s="34">
        <f>AVERAGE(L14:L18)</f>
        <v>6.227963889940912</v>
      </c>
      <c r="M24" s="3">
        <f>AVERAGE(M14:M18)</f>
        <v>45.58</v>
      </c>
      <c r="O24" s="130" t="s">
        <v>22</v>
      </c>
      <c r="P24" s="131"/>
      <c r="Q24" s="34">
        <f>AVERAGE(Q14:Q18)</f>
        <v>96.6</v>
      </c>
      <c r="R24" s="2">
        <f>AVERAGE(R14:R18)</f>
        <v>18.879405000000002</v>
      </c>
      <c r="S24" s="34">
        <f>AVERAGE(S14:S18)</f>
        <v>29.628846817989732</v>
      </c>
      <c r="T24" s="3">
        <f>AVERAGE(T14:T18)</f>
        <v>503.96000000000004</v>
      </c>
      <c r="V24" s="130" t="s">
        <v>22</v>
      </c>
      <c r="W24" s="131"/>
      <c r="X24" s="34">
        <f>AVERAGE(X14:X18)</f>
        <v>79.8</v>
      </c>
      <c r="Y24" s="2">
        <f>AVERAGE(Y14:Y18)</f>
        <v>8.0275593399999998</v>
      </c>
      <c r="Z24" s="34">
        <f>AVERAGE(Z14:Z18)</f>
        <v>23.352224406187776</v>
      </c>
      <c r="AA24" s="3">
        <f>AVERAGE(AA14:AA18)</f>
        <v>575.8900000000001</v>
      </c>
    </row>
    <row r="27" spans="1:27" x14ac:dyDescent="0.25">
      <c r="A27" s="95" t="s">
        <v>37</v>
      </c>
      <c r="B27" s="22" t="s">
        <v>38</v>
      </c>
      <c r="C27" s="55"/>
    </row>
    <row r="28" spans="1:27" x14ac:dyDescent="0.25">
      <c r="A28" s="98"/>
      <c r="B28" s="2" t="s">
        <v>39</v>
      </c>
      <c r="C28" s="54"/>
    </row>
  </sheetData>
  <mergeCells count="33">
    <mergeCell ref="V1:AA2"/>
    <mergeCell ref="V4:V8"/>
    <mergeCell ref="V9:V13"/>
    <mergeCell ref="V14:V18"/>
    <mergeCell ref="V21:W21"/>
    <mergeCell ref="H22:I22"/>
    <mergeCell ref="H23:I23"/>
    <mergeCell ref="V22:W22"/>
    <mergeCell ref="V23:W23"/>
    <mergeCell ref="H24:I24"/>
    <mergeCell ref="O22:P22"/>
    <mergeCell ref="O23:P23"/>
    <mergeCell ref="O24:P24"/>
    <mergeCell ref="V24:W24"/>
    <mergeCell ref="H1:M2"/>
    <mergeCell ref="O1:T2"/>
    <mergeCell ref="H4:H8"/>
    <mergeCell ref="H9:H13"/>
    <mergeCell ref="H14:H18"/>
    <mergeCell ref="O4:O8"/>
    <mergeCell ref="O9:O13"/>
    <mergeCell ref="O14:O18"/>
    <mergeCell ref="H21:I21"/>
    <mergeCell ref="O21:P21"/>
    <mergeCell ref="A4:A8"/>
    <mergeCell ref="A9:A13"/>
    <mergeCell ref="A14:A18"/>
    <mergeCell ref="A1:F2"/>
    <mergeCell ref="A27:A28"/>
    <mergeCell ref="A22:B22"/>
    <mergeCell ref="A23:B23"/>
    <mergeCell ref="A24:B24"/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F0CC-2B75-46A1-B1C2-1F03542D0B2B}">
  <dimension ref="A1:P23"/>
  <sheetViews>
    <sheetView topLeftCell="A4" workbookViewId="0">
      <selection activeCell="W22" sqref="W22"/>
    </sheetView>
  </sheetViews>
  <sheetFormatPr defaultRowHeight="15" x14ac:dyDescent="0.25"/>
  <cols>
    <col min="1" max="1" width="14.140625" customWidth="1"/>
    <col min="2" max="2" width="16" customWidth="1"/>
    <col min="3" max="14" width="13.140625" customWidth="1"/>
  </cols>
  <sheetData>
    <row r="1" spans="1:16" x14ac:dyDescent="0.25">
      <c r="A1" s="148" t="s">
        <v>31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r="2" spans="1:16" x14ac:dyDescent="0.2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</row>
    <row r="4" spans="1:16" x14ac:dyDescent="0.25">
      <c r="A4" s="124" t="s">
        <v>28</v>
      </c>
      <c r="B4" s="124" t="s">
        <v>25</v>
      </c>
      <c r="C4" s="149" t="s">
        <v>33</v>
      </c>
      <c r="D4" s="150"/>
      <c r="E4" s="150"/>
      <c r="F4" s="151"/>
      <c r="G4" s="152" t="s">
        <v>34</v>
      </c>
      <c r="H4" s="153"/>
      <c r="I4" s="153"/>
      <c r="J4" s="154"/>
      <c r="K4" s="155" t="s">
        <v>35</v>
      </c>
      <c r="L4" s="156"/>
      <c r="M4" s="156"/>
      <c r="N4" s="157"/>
    </row>
    <row r="5" spans="1:16" x14ac:dyDescent="0.25">
      <c r="A5" s="125"/>
      <c r="B5" s="125"/>
      <c r="C5" s="25" t="s">
        <v>2</v>
      </c>
      <c r="D5" s="4" t="s">
        <v>3</v>
      </c>
      <c r="E5" s="4" t="s">
        <v>4</v>
      </c>
      <c r="F5" s="4" t="s">
        <v>5</v>
      </c>
      <c r="G5" s="25" t="s">
        <v>2</v>
      </c>
      <c r="H5" s="4" t="s">
        <v>3</v>
      </c>
      <c r="I5" s="4" t="s">
        <v>4</v>
      </c>
      <c r="J5" s="5" t="s">
        <v>5</v>
      </c>
      <c r="K5" s="4" t="s">
        <v>2</v>
      </c>
      <c r="L5" s="4" t="s">
        <v>3</v>
      </c>
      <c r="M5" s="4" t="s">
        <v>4</v>
      </c>
      <c r="N5" s="5" t="s">
        <v>5</v>
      </c>
    </row>
    <row r="6" spans="1:16" x14ac:dyDescent="0.25">
      <c r="A6" s="21" t="s">
        <v>41</v>
      </c>
      <c r="B6" s="141" t="s">
        <v>20</v>
      </c>
      <c r="C6" s="21">
        <v>100</v>
      </c>
      <c r="D6" s="22">
        <v>5.3665900000000002E-2</v>
      </c>
      <c r="E6" s="22">
        <v>4.9768614000000003E-2</v>
      </c>
      <c r="F6" s="23">
        <v>99.12</v>
      </c>
      <c r="G6" s="21">
        <v>99</v>
      </c>
      <c r="H6" s="22">
        <v>5.95071E-2</v>
      </c>
      <c r="I6" s="22">
        <v>5.4566079000000003E-2</v>
      </c>
      <c r="J6" s="23">
        <v>104.06</v>
      </c>
      <c r="K6" s="21">
        <v>99.8</v>
      </c>
      <c r="L6" s="22">
        <v>5.7383340000000005E-2</v>
      </c>
      <c r="M6" s="22">
        <v>5.0103665366364111E-2</v>
      </c>
      <c r="N6" s="23">
        <v>105.902</v>
      </c>
      <c r="P6" t="s">
        <v>44</v>
      </c>
    </row>
    <row r="7" spans="1:16" x14ac:dyDescent="0.25">
      <c r="A7" s="18" t="s">
        <v>29</v>
      </c>
      <c r="B7" s="142"/>
      <c r="C7" s="18">
        <v>100</v>
      </c>
      <c r="D7">
        <v>0.1585667</v>
      </c>
      <c r="E7">
        <v>0.14498807399999999</v>
      </c>
      <c r="F7" s="1">
        <v>63.94</v>
      </c>
      <c r="G7" s="18">
        <v>100</v>
      </c>
      <c r="H7">
        <v>0.21668879999999999</v>
      </c>
      <c r="I7">
        <v>0.23481624600000001</v>
      </c>
      <c r="J7" s="1">
        <v>76.31</v>
      </c>
      <c r="K7" s="18">
        <v>100</v>
      </c>
      <c r="L7">
        <v>0.19974629999999999</v>
      </c>
      <c r="M7">
        <v>0.21392891060000002</v>
      </c>
      <c r="N7" s="1">
        <v>75.403999999999996</v>
      </c>
    </row>
    <row r="8" spans="1:16" x14ac:dyDescent="0.25">
      <c r="A8" s="18" t="s">
        <v>40</v>
      </c>
      <c r="B8" s="142"/>
      <c r="C8" s="18">
        <v>100</v>
      </c>
      <c r="D8">
        <v>5.03054E-2</v>
      </c>
      <c r="E8">
        <v>5.2162812000000003E-2</v>
      </c>
      <c r="F8" s="1">
        <v>22.63</v>
      </c>
      <c r="G8" s="18">
        <v>100</v>
      </c>
      <c r="H8">
        <v>7.1468100000000007E-2</v>
      </c>
      <c r="I8">
        <v>8.4463455126516623E-2</v>
      </c>
      <c r="J8" s="1">
        <v>30.41</v>
      </c>
      <c r="K8" s="18">
        <v>100</v>
      </c>
      <c r="L8">
        <v>5.8234880000000003E-2</v>
      </c>
      <c r="M8">
        <v>6.8720175322038363E-2</v>
      </c>
      <c r="N8" s="1">
        <v>25.762</v>
      </c>
    </row>
    <row r="9" spans="1:16" x14ac:dyDescent="0.25">
      <c r="A9" s="19" t="s">
        <v>30</v>
      </c>
      <c r="B9" s="143"/>
      <c r="C9" s="19">
        <v>100</v>
      </c>
      <c r="D9" s="2">
        <v>4.7049100000000003E-2</v>
      </c>
      <c r="E9" s="2">
        <v>5.7903586999999999E-2</v>
      </c>
      <c r="F9" s="3">
        <v>21.82</v>
      </c>
      <c r="G9" s="19">
        <v>100</v>
      </c>
      <c r="H9" s="2">
        <v>5.6891499999999998E-2</v>
      </c>
      <c r="I9" s="2">
        <v>7.5875490000000004E-2</v>
      </c>
      <c r="J9" s="3">
        <v>24.16</v>
      </c>
      <c r="K9" s="19">
        <v>100</v>
      </c>
      <c r="L9" s="2">
        <v>5.4491680000000001E-2</v>
      </c>
      <c r="M9" s="2">
        <v>6.4612245400000004E-2</v>
      </c>
      <c r="N9" s="3">
        <v>24.133999999999997</v>
      </c>
    </row>
    <row r="11" spans="1:16" x14ac:dyDescent="0.25">
      <c r="A11" s="124" t="s">
        <v>28</v>
      </c>
      <c r="B11" s="124" t="s">
        <v>25</v>
      </c>
      <c r="C11" s="144" t="s">
        <v>33</v>
      </c>
      <c r="D11" s="145"/>
      <c r="E11" s="145"/>
      <c r="F11" s="146"/>
      <c r="G11" s="132" t="s">
        <v>34</v>
      </c>
      <c r="H11" s="147"/>
      <c r="I11" s="147"/>
      <c r="J11" s="133"/>
      <c r="K11" s="144" t="s">
        <v>35</v>
      </c>
      <c r="L11" s="145"/>
      <c r="M11" s="145"/>
      <c r="N11" s="146"/>
    </row>
    <row r="12" spans="1:16" x14ac:dyDescent="0.25">
      <c r="A12" s="125"/>
      <c r="B12" s="125"/>
      <c r="C12" s="25" t="s">
        <v>2</v>
      </c>
      <c r="D12" s="4" t="s">
        <v>3</v>
      </c>
      <c r="E12" s="4" t="s">
        <v>4</v>
      </c>
      <c r="F12" s="4" t="s">
        <v>5</v>
      </c>
      <c r="G12" s="25" t="s">
        <v>2</v>
      </c>
      <c r="H12" s="4" t="s">
        <v>3</v>
      </c>
      <c r="I12" s="4" t="s">
        <v>4</v>
      </c>
      <c r="J12" s="5" t="s">
        <v>5</v>
      </c>
      <c r="K12" s="4" t="s">
        <v>2</v>
      </c>
      <c r="L12" s="4" t="s">
        <v>3</v>
      </c>
      <c r="M12" s="4" t="s">
        <v>4</v>
      </c>
      <c r="N12" s="5" t="s">
        <v>5</v>
      </c>
    </row>
    <row r="13" spans="1:16" x14ac:dyDescent="0.25">
      <c r="A13" s="21" t="s">
        <v>41</v>
      </c>
      <c r="B13" s="141" t="s">
        <v>43</v>
      </c>
      <c r="C13" s="21">
        <v>97</v>
      </c>
      <c r="D13" s="22">
        <v>0.89470620000000001</v>
      </c>
      <c r="E13" s="22">
        <v>2.6144567749999998</v>
      </c>
      <c r="F13" s="23">
        <v>256.07</v>
      </c>
      <c r="G13" s="21">
        <v>90</v>
      </c>
      <c r="H13" s="22">
        <v>0.3767354</v>
      </c>
      <c r="I13" s="22">
        <v>1.2306317170000001</v>
      </c>
      <c r="J13" s="23">
        <v>128.78</v>
      </c>
      <c r="K13" s="21">
        <v>94.4</v>
      </c>
      <c r="L13" s="22">
        <v>0.55603658</v>
      </c>
      <c r="M13" s="22">
        <v>1.8234212612</v>
      </c>
      <c r="N13" s="23">
        <v>176.34800000000001</v>
      </c>
    </row>
    <row r="14" spans="1:16" x14ac:dyDescent="0.25">
      <c r="A14" s="18" t="s">
        <v>29</v>
      </c>
      <c r="B14" s="142"/>
      <c r="C14" s="18">
        <v>100</v>
      </c>
      <c r="D14">
        <v>0.39301550000000002</v>
      </c>
      <c r="E14">
        <v>0.86340397700000004</v>
      </c>
      <c r="F14" s="1">
        <v>39.450000000000003</v>
      </c>
      <c r="G14" s="18">
        <v>100</v>
      </c>
      <c r="H14">
        <v>0.44752619999999999</v>
      </c>
      <c r="I14">
        <v>0.720673008</v>
      </c>
      <c r="J14" s="1">
        <v>45.65</v>
      </c>
      <c r="K14" s="18">
        <v>100</v>
      </c>
      <c r="L14">
        <v>0.38587388</v>
      </c>
      <c r="M14">
        <v>0.75736798039999997</v>
      </c>
      <c r="N14" s="1">
        <v>38.966000000000001</v>
      </c>
    </row>
    <row r="15" spans="1:16" x14ac:dyDescent="0.25">
      <c r="A15" s="18" t="s">
        <v>40</v>
      </c>
      <c r="B15" s="142"/>
      <c r="C15" s="18">
        <v>100</v>
      </c>
      <c r="D15">
        <v>3.7472499999999999E-2</v>
      </c>
      <c r="E15">
        <v>8.2992073E-2</v>
      </c>
      <c r="F15" s="1">
        <v>4.2</v>
      </c>
      <c r="G15" s="18">
        <v>100</v>
      </c>
      <c r="H15">
        <v>0.14394779999999999</v>
      </c>
      <c r="I15">
        <v>0.66910760899999999</v>
      </c>
      <c r="J15" s="1">
        <v>12.81</v>
      </c>
      <c r="K15" s="18">
        <v>100</v>
      </c>
      <c r="L15">
        <v>7.5258320000000004E-2</v>
      </c>
      <c r="M15">
        <v>0.2833371348</v>
      </c>
      <c r="N15" s="1">
        <v>7.15</v>
      </c>
    </row>
    <row r="16" spans="1:16" x14ac:dyDescent="0.25">
      <c r="A16" s="19" t="s">
        <v>30</v>
      </c>
      <c r="B16" s="143"/>
      <c r="C16" s="19">
        <v>100</v>
      </c>
      <c r="D16" s="2">
        <v>4.7260999999999997E-2</v>
      </c>
      <c r="E16" s="2">
        <v>7.5012220000000004E-2</v>
      </c>
      <c r="F16" s="3">
        <v>4.38</v>
      </c>
      <c r="G16" s="19">
        <v>100</v>
      </c>
      <c r="H16" s="2">
        <v>8.7796200000000005E-2</v>
      </c>
      <c r="I16" s="2">
        <v>0.30513714600000003</v>
      </c>
      <c r="J16" s="3">
        <v>7.92</v>
      </c>
      <c r="K16" s="19">
        <v>100</v>
      </c>
      <c r="L16" s="2">
        <v>6.771155999999999E-2</v>
      </c>
      <c r="M16" s="2">
        <v>0.20085704060000001</v>
      </c>
      <c r="N16" s="3">
        <v>6.3339999999999996</v>
      </c>
    </row>
    <row r="18" spans="1:14" x14ac:dyDescent="0.25">
      <c r="A18" s="124" t="s">
        <v>28</v>
      </c>
      <c r="B18" s="124" t="s">
        <v>25</v>
      </c>
      <c r="C18" s="144" t="s">
        <v>33</v>
      </c>
      <c r="D18" s="145"/>
      <c r="E18" s="145"/>
      <c r="F18" s="146"/>
      <c r="G18" s="132" t="s">
        <v>34</v>
      </c>
      <c r="H18" s="147"/>
      <c r="I18" s="147"/>
      <c r="J18" s="133"/>
      <c r="K18" s="144" t="s">
        <v>35</v>
      </c>
      <c r="L18" s="145"/>
      <c r="M18" s="145"/>
      <c r="N18" s="146"/>
    </row>
    <row r="19" spans="1:14" x14ac:dyDescent="0.25">
      <c r="A19" s="125"/>
      <c r="B19" s="125"/>
      <c r="C19" s="25" t="s">
        <v>2</v>
      </c>
      <c r="D19" s="4" t="s">
        <v>3</v>
      </c>
      <c r="E19" s="4" t="s">
        <v>4</v>
      </c>
      <c r="F19" s="4" t="s">
        <v>5</v>
      </c>
      <c r="G19" s="25" t="s">
        <v>2</v>
      </c>
      <c r="H19" s="4" t="s">
        <v>3</v>
      </c>
      <c r="I19" s="4" t="s">
        <v>4</v>
      </c>
      <c r="J19" s="5" t="s">
        <v>5</v>
      </c>
      <c r="K19" s="4" t="s">
        <v>2</v>
      </c>
      <c r="L19" s="4" t="s">
        <v>3</v>
      </c>
      <c r="M19" s="4" t="s">
        <v>4</v>
      </c>
      <c r="N19" s="5" t="s">
        <v>5</v>
      </c>
    </row>
    <row r="20" spans="1:14" x14ac:dyDescent="0.25">
      <c r="A20" s="21" t="s">
        <v>41</v>
      </c>
      <c r="B20" s="141" t="s">
        <v>42</v>
      </c>
      <c r="C20" s="21">
        <v>84</v>
      </c>
      <c r="D20" s="22">
        <v>9.7479144000000026</v>
      </c>
      <c r="E20" s="22">
        <v>36.845294917747061</v>
      </c>
      <c r="F20" s="23">
        <v>632.36</v>
      </c>
      <c r="G20" s="21">
        <v>76</v>
      </c>
      <c r="H20" s="22">
        <v>3.8604329000000002</v>
      </c>
      <c r="I20" s="22">
        <v>9.490665223001896</v>
      </c>
      <c r="J20" s="23">
        <v>241.81</v>
      </c>
      <c r="K20" s="21">
        <v>79.8</v>
      </c>
      <c r="L20" s="22">
        <v>8.0275593399999998</v>
      </c>
      <c r="M20" s="22">
        <v>23.352224406187776</v>
      </c>
      <c r="N20" s="23">
        <v>575.8900000000001</v>
      </c>
    </row>
    <row r="21" spans="1:14" x14ac:dyDescent="0.25">
      <c r="A21" s="18" t="s">
        <v>29</v>
      </c>
      <c r="B21" s="142"/>
      <c r="C21" s="18">
        <v>98</v>
      </c>
      <c r="D21">
        <v>21.145948400000002</v>
      </c>
      <c r="E21">
        <v>31.306951430000002</v>
      </c>
      <c r="F21" s="1">
        <v>440.26</v>
      </c>
      <c r="G21" s="18">
        <v>95</v>
      </c>
      <c r="H21">
        <v>17.0322137</v>
      </c>
      <c r="I21">
        <v>28.627545779999998</v>
      </c>
      <c r="J21" s="1">
        <v>456.61</v>
      </c>
      <c r="K21" s="18">
        <v>96.6</v>
      </c>
      <c r="L21">
        <v>18.879405000000002</v>
      </c>
      <c r="M21">
        <v>29.628846817989732</v>
      </c>
      <c r="N21" s="1">
        <v>503.96000000000004</v>
      </c>
    </row>
    <row r="22" spans="1:14" x14ac:dyDescent="0.25">
      <c r="A22" s="18" t="s">
        <v>40</v>
      </c>
      <c r="B22" s="142"/>
      <c r="C22" s="18">
        <v>98</v>
      </c>
      <c r="D22">
        <v>1.8404092000000001</v>
      </c>
      <c r="E22">
        <v>3.0888635780244194</v>
      </c>
      <c r="F22" s="1">
        <v>37.229999999999997</v>
      </c>
      <c r="G22" s="18">
        <v>96</v>
      </c>
      <c r="H22">
        <v>3.0573638999999999</v>
      </c>
      <c r="I22">
        <v>8.6984862951559574</v>
      </c>
      <c r="J22" s="1">
        <v>57.26</v>
      </c>
      <c r="K22" s="18">
        <v>96.8</v>
      </c>
      <c r="L22">
        <v>2.6975183600000001</v>
      </c>
      <c r="M22">
        <v>6.227963889940912</v>
      </c>
      <c r="N22" s="1">
        <v>45.58</v>
      </c>
    </row>
    <row r="23" spans="1:14" x14ac:dyDescent="0.25">
      <c r="A23" s="19" t="s">
        <v>30</v>
      </c>
      <c r="B23" s="143"/>
      <c r="C23" s="19">
        <v>100</v>
      </c>
      <c r="D23" s="2">
        <v>5.3076968000000004</v>
      </c>
      <c r="E23" s="2">
        <v>12.00178816</v>
      </c>
      <c r="F23" s="3">
        <v>95.41</v>
      </c>
      <c r="G23" s="19">
        <v>99</v>
      </c>
      <c r="H23" s="2">
        <v>8.8604274000000007</v>
      </c>
      <c r="I23" s="2">
        <v>20.855376280000002</v>
      </c>
      <c r="J23" s="3">
        <v>93.19</v>
      </c>
      <c r="K23" s="19">
        <v>99.4</v>
      </c>
      <c r="L23" s="2">
        <v>6.6394424399999989</v>
      </c>
      <c r="M23" s="2">
        <v>15.987175868000003</v>
      </c>
      <c r="N23" s="3">
        <v>96.189999999999984</v>
      </c>
    </row>
  </sheetData>
  <mergeCells count="19">
    <mergeCell ref="B6:B9"/>
    <mergeCell ref="A11:A12"/>
    <mergeCell ref="B11:B12"/>
    <mergeCell ref="A1:N2"/>
    <mergeCell ref="A4:A5"/>
    <mergeCell ref="B4:B5"/>
    <mergeCell ref="C4:F4"/>
    <mergeCell ref="G4:J4"/>
    <mergeCell ref="K4:N4"/>
    <mergeCell ref="A18:A19"/>
    <mergeCell ref="B18:B19"/>
    <mergeCell ref="C18:F18"/>
    <mergeCell ref="G18:J18"/>
    <mergeCell ref="K18:N18"/>
    <mergeCell ref="B20:B23"/>
    <mergeCell ref="C11:F11"/>
    <mergeCell ref="G11:J11"/>
    <mergeCell ref="K11:N11"/>
    <mergeCell ref="B13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7D90-B554-425A-B311-BBADCA243A5E}">
  <dimension ref="A1:M109"/>
  <sheetViews>
    <sheetView zoomScaleNormal="100" workbookViewId="0">
      <selection activeCell="H13" sqref="H13"/>
    </sheetView>
  </sheetViews>
  <sheetFormatPr defaultRowHeight="15" x14ac:dyDescent="0.25"/>
  <cols>
    <col min="1" max="1" width="28" customWidth="1"/>
    <col min="2" max="13" width="13.140625" customWidth="1"/>
    <col min="14" max="16" width="10.7109375" customWidth="1"/>
  </cols>
  <sheetData>
    <row r="1" spans="1:13" x14ac:dyDescent="0.25">
      <c r="A1" s="81" t="s">
        <v>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3"/>
    </row>
    <row r="2" spans="1:13" x14ac:dyDescent="0.25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1:13" x14ac:dyDescent="0.25">
      <c r="A3" s="87" t="s">
        <v>23</v>
      </c>
      <c r="B3" s="89" t="s">
        <v>20</v>
      </c>
      <c r="C3" s="90"/>
      <c r="D3" s="90"/>
      <c r="E3" s="91"/>
      <c r="F3" s="95" t="s">
        <v>21</v>
      </c>
      <c r="G3" s="96"/>
      <c r="H3" s="96"/>
      <c r="I3" s="97"/>
      <c r="J3" s="95" t="s">
        <v>22</v>
      </c>
      <c r="K3" s="96"/>
      <c r="L3" s="96"/>
      <c r="M3" s="97"/>
    </row>
    <row r="4" spans="1:13" ht="9" customHeight="1" x14ac:dyDescent="0.25">
      <c r="A4" s="88"/>
      <c r="B4" s="92"/>
      <c r="C4" s="93"/>
      <c r="D4" s="93"/>
      <c r="E4" s="94"/>
      <c r="F4" s="98"/>
      <c r="G4" s="99"/>
      <c r="H4" s="99"/>
      <c r="I4" s="100"/>
      <c r="J4" s="98"/>
      <c r="K4" s="99"/>
      <c r="L4" s="99"/>
      <c r="M4" s="100"/>
    </row>
    <row r="5" spans="1:13" x14ac:dyDescent="0.25">
      <c r="A5" s="9" t="s">
        <v>10</v>
      </c>
      <c r="B5" s="6" t="s">
        <v>2</v>
      </c>
      <c r="C5" s="6" t="s">
        <v>3</v>
      </c>
      <c r="D5" s="6" t="s">
        <v>4</v>
      </c>
      <c r="E5" s="8" t="s">
        <v>5</v>
      </c>
      <c r="F5" s="4" t="s">
        <v>2</v>
      </c>
      <c r="G5" s="4" t="s">
        <v>3</v>
      </c>
      <c r="H5" s="4" t="s">
        <v>4</v>
      </c>
      <c r="I5" s="5" t="s">
        <v>5</v>
      </c>
      <c r="J5" s="4" t="s">
        <v>2</v>
      </c>
      <c r="K5" s="4" t="s">
        <v>3</v>
      </c>
      <c r="L5" s="4" t="s">
        <v>4</v>
      </c>
      <c r="M5" s="5" t="s">
        <v>5</v>
      </c>
    </row>
    <row r="6" spans="1:13" x14ac:dyDescent="0.25">
      <c r="A6" s="10">
        <v>1.5</v>
      </c>
      <c r="B6">
        <v>100</v>
      </c>
      <c r="C6">
        <v>3.0813899999999995E-2</v>
      </c>
      <c r="D6">
        <v>3.2197499999999997E-2</v>
      </c>
      <c r="E6" s="1">
        <v>36.551099999999991</v>
      </c>
      <c r="F6">
        <v>99.96</v>
      </c>
      <c r="G6">
        <v>6.7482799999999996E-2</v>
      </c>
      <c r="H6">
        <v>0.1501876</v>
      </c>
      <c r="I6" s="1">
        <v>13.014900000000001</v>
      </c>
      <c r="J6">
        <v>96.98</v>
      </c>
      <c r="K6">
        <v>3.0439309000000003</v>
      </c>
      <c r="L6">
        <v>5.7743507999999988</v>
      </c>
      <c r="M6" s="1">
        <v>119.41779999999997</v>
      </c>
    </row>
    <row r="7" spans="1:13" x14ac:dyDescent="0.25">
      <c r="A7" s="11">
        <v>3.625</v>
      </c>
      <c r="B7">
        <v>100</v>
      </c>
      <c r="C7">
        <v>2.9218299999999999E-2</v>
      </c>
      <c r="D7">
        <v>2.8221900000000001E-2</v>
      </c>
      <c r="E7" s="1">
        <v>40.509599999999999</v>
      </c>
      <c r="F7">
        <v>99.98</v>
      </c>
      <c r="G7">
        <v>6.0854900000000003E-2</v>
      </c>
      <c r="H7">
        <v>0.1133353</v>
      </c>
      <c r="I7" s="1">
        <v>11.969099999999999</v>
      </c>
      <c r="J7">
        <v>97.98</v>
      </c>
      <c r="K7">
        <v>4.0905268000000019</v>
      </c>
      <c r="L7">
        <v>7.2309083000000021</v>
      </c>
      <c r="M7" s="1">
        <v>179.083</v>
      </c>
    </row>
    <row r="8" spans="1:13" x14ac:dyDescent="0.25">
      <c r="A8" s="11">
        <v>5.75</v>
      </c>
      <c r="B8">
        <v>100</v>
      </c>
      <c r="C8">
        <v>2.3518799999999999E-2</v>
      </c>
      <c r="D8">
        <v>2.0688600000000001E-2</v>
      </c>
      <c r="E8" s="1">
        <v>36.700800000000001</v>
      </c>
      <c r="F8">
        <v>99.99</v>
      </c>
      <c r="G8">
        <v>6.50834E-2</v>
      </c>
      <c r="H8">
        <v>0.12470580000000001</v>
      </c>
      <c r="I8" s="1">
        <v>12.9969</v>
      </c>
      <c r="J8">
        <v>98.35</v>
      </c>
      <c r="K8">
        <v>3.4976463999999998</v>
      </c>
      <c r="L8">
        <v>6.0247919000000003</v>
      </c>
      <c r="M8" s="1">
        <v>187.89319999999995</v>
      </c>
    </row>
    <row r="9" spans="1:13" x14ac:dyDescent="0.25">
      <c r="A9" s="11">
        <v>7.875</v>
      </c>
      <c r="B9">
        <v>100</v>
      </c>
      <c r="C9">
        <v>2.33055E-2</v>
      </c>
      <c r="D9">
        <v>2.0113300000000001E-2</v>
      </c>
      <c r="E9" s="1">
        <v>36.4499</v>
      </c>
      <c r="F9">
        <v>99.98</v>
      </c>
      <c r="G9">
        <v>0.1031205</v>
      </c>
      <c r="H9">
        <v>0.1843581</v>
      </c>
      <c r="I9" s="1">
        <v>11.596299999999999</v>
      </c>
      <c r="J9">
        <v>98.62</v>
      </c>
      <c r="K9">
        <v>4.3518585999999999</v>
      </c>
      <c r="L9">
        <v>6.3289344999999999</v>
      </c>
      <c r="M9" s="1">
        <v>184.7123</v>
      </c>
    </row>
    <row r="10" spans="1:13" x14ac:dyDescent="0.25">
      <c r="A10" s="12">
        <v>10</v>
      </c>
      <c r="B10" s="2">
        <v>100</v>
      </c>
      <c r="C10" s="2">
        <v>2.3840099999999999E-2</v>
      </c>
      <c r="D10" s="2">
        <v>2.1347399999999999E-2</v>
      </c>
      <c r="E10" s="3">
        <v>37.178400000000003</v>
      </c>
      <c r="F10" s="2">
        <v>99.96</v>
      </c>
      <c r="G10" s="2">
        <v>7.0836499999999997E-2</v>
      </c>
      <c r="H10" s="2">
        <v>0.14356250000000001</v>
      </c>
      <c r="I10" s="3">
        <v>11.2232</v>
      </c>
      <c r="J10" s="2">
        <v>98.91</v>
      </c>
      <c r="K10" s="2">
        <v>4.8497782000000003</v>
      </c>
      <c r="L10" s="2">
        <v>7.6057823000000049</v>
      </c>
      <c r="M10" s="3">
        <v>178.5643</v>
      </c>
    </row>
    <row r="11" spans="1:13" x14ac:dyDescent="0.25">
      <c r="A11" s="9" t="s">
        <v>11</v>
      </c>
      <c r="B11" s="4" t="s">
        <v>2</v>
      </c>
      <c r="C11" s="4" t="s">
        <v>3</v>
      </c>
      <c r="D11" s="4" t="s">
        <v>4</v>
      </c>
      <c r="E11" s="5" t="s">
        <v>5</v>
      </c>
      <c r="F11" s="4" t="s">
        <v>2</v>
      </c>
      <c r="G11" s="4" t="s">
        <v>3</v>
      </c>
      <c r="H11" s="4" t="s">
        <v>4</v>
      </c>
      <c r="I11" s="5" t="s">
        <v>5</v>
      </c>
      <c r="J11" s="4" t="s">
        <v>2</v>
      </c>
      <c r="K11" s="4" t="s">
        <v>3</v>
      </c>
      <c r="L11" s="4" t="s">
        <v>4</v>
      </c>
      <c r="M11" s="5" t="s">
        <v>5</v>
      </c>
    </row>
    <row r="12" spans="1:13" x14ac:dyDescent="0.25">
      <c r="A12" s="11">
        <v>0.1</v>
      </c>
      <c r="B12">
        <v>100</v>
      </c>
      <c r="C12">
        <v>2.9731400000000002E-2</v>
      </c>
      <c r="D12">
        <v>2.62913E-2</v>
      </c>
      <c r="E12" s="1">
        <v>36.937600000000003</v>
      </c>
      <c r="F12">
        <v>99.89</v>
      </c>
      <c r="G12">
        <v>0.10199229999999999</v>
      </c>
      <c r="H12">
        <v>0.20901400000000001</v>
      </c>
      <c r="I12" s="1">
        <v>12.100099999999999</v>
      </c>
      <c r="J12">
        <v>96.46</v>
      </c>
      <c r="K12">
        <v>4.5621691000000002</v>
      </c>
      <c r="L12">
        <v>6.1482742999999997</v>
      </c>
      <c r="M12" s="1">
        <v>189.48009999999999</v>
      </c>
    </row>
    <row r="13" spans="1:13" x14ac:dyDescent="0.25">
      <c r="A13" s="10">
        <v>0.01</v>
      </c>
      <c r="B13">
        <v>100</v>
      </c>
      <c r="C13">
        <v>3.0813899999999995E-2</v>
      </c>
      <c r="D13">
        <v>3.2197499999999997E-2</v>
      </c>
      <c r="E13" s="1">
        <v>36.551099999999991</v>
      </c>
      <c r="F13">
        <v>99.96</v>
      </c>
      <c r="G13">
        <v>6.7482799999999996E-2</v>
      </c>
      <c r="H13">
        <v>0.1501876</v>
      </c>
      <c r="I13" s="1">
        <v>13.014900000000001</v>
      </c>
      <c r="J13">
        <v>96.98</v>
      </c>
      <c r="K13">
        <v>3.0439309000000003</v>
      </c>
      <c r="L13">
        <v>5.7743507999999988</v>
      </c>
      <c r="M13" s="1">
        <v>119.41779999999997</v>
      </c>
    </row>
    <row r="14" spans="1:13" x14ac:dyDescent="0.25">
      <c r="A14" s="11">
        <v>1E-3</v>
      </c>
      <c r="B14">
        <v>100</v>
      </c>
      <c r="C14">
        <v>2.8174399999999999E-2</v>
      </c>
      <c r="D14">
        <v>2.5149999999999999E-2</v>
      </c>
      <c r="E14" s="1">
        <v>36.345300000000002</v>
      </c>
      <c r="F14">
        <v>99.93</v>
      </c>
      <c r="G14">
        <v>6.21238E-2</v>
      </c>
      <c r="H14">
        <v>0.13004209999999999</v>
      </c>
      <c r="I14" s="1">
        <v>10.7859</v>
      </c>
      <c r="J14">
        <v>96.74</v>
      </c>
      <c r="K14">
        <v>4.4934422999999999</v>
      </c>
      <c r="L14">
        <v>5.8920553</v>
      </c>
      <c r="M14" s="1">
        <v>184.98490000000001</v>
      </c>
    </row>
    <row r="15" spans="1:13" x14ac:dyDescent="0.25">
      <c r="A15" s="11">
        <v>1E-4</v>
      </c>
      <c r="B15">
        <v>100</v>
      </c>
      <c r="C15">
        <v>2.9701700000000001E-2</v>
      </c>
      <c r="D15">
        <v>2.78126E-2</v>
      </c>
      <c r="E15" s="1">
        <v>36.827300000000001</v>
      </c>
      <c r="F15">
        <v>99.93</v>
      </c>
      <c r="G15">
        <v>6.1097600000000002E-2</v>
      </c>
      <c r="H15">
        <v>0.1519865</v>
      </c>
      <c r="I15" s="1">
        <v>11.2499</v>
      </c>
      <c r="J15">
        <v>96.69</v>
      </c>
      <c r="K15">
        <v>4.7159203999999999</v>
      </c>
      <c r="L15">
        <v>6.5849221</v>
      </c>
      <c r="M15" s="1">
        <v>183.56319999999999</v>
      </c>
    </row>
    <row r="16" spans="1:13" x14ac:dyDescent="0.25">
      <c r="A16" s="12">
        <v>1.0000000000000001E-5</v>
      </c>
      <c r="B16" s="2">
        <v>100</v>
      </c>
      <c r="C16" s="2">
        <v>2.9481500000000001E-2</v>
      </c>
      <c r="D16" s="2">
        <v>2.7663500000000001E-2</v>
      </c>
      <c r="E16" s="3">
        <v>36.984999999999999</v>
      </c>
      <c r="F16" s="2">
        <v>99.88</v>
      </c>
      <c r="G16" s="2">
        <v>7.1785000000000002E-2</v>
      </c>
      <c r="H16" s="2">
        <v>0.17956810000000001</v>
      </c>
      <c r="I16" s="3">
        <v>12.1592</v>
      </c>
      <c r="J16" s="2">
        <v>96.71</v>
      </c>
      <c r="K16" s="2">
        <v>4.7639962000000002</v>
      </c>
      <c r="L16" s="2">
        <v>6.0842697000000001</v>
      </c>
      <c r="M16" s="3">
        <v>178.60730000000001</v>
      </c>
    </row>
    <row r="17" spans="1:13" x14ac:dyDescent="0.25">
      <c r="A17" s="13" t="s">
        <v>12</v>
      </c>
      <c r="B17" s="4" t="s">
        <v>2</v>
      </c>
      <c r="C17" s="4" t="s">
        <v>3</v>
      </c>
      <c r="D17" s="4" t="s">
        <v>4</v>
      </c>
      <c r="E17" s="5" t="s">
        <v>5</v>
      </c>
      <c r="F17" s="4" t="s">
        <v>2</v>
      </c>
      <c r="G17" s="4" t="s">
        <v>3</v>
      </c>
      <c r="H17" s="4" t="s">
        <v>4</v>
      </c>
      <c r="I17" s="5" t="s">
        <v>5</v>
      </c>
      <c r="J17" s="4" t="s">
        <v>2</v>
      </c>
      <c r="K17" s="4" t="s">
        <v>3</v>
      </c>
      <c r="L17" s="4" t="s">
        <v>4</v>
      </c>
      <c r="M17" s="5" t="s">
        <v>5</v>
      </c>
    </row>
    <row r="18" spans="1:13" x14ac:dyDescent="0.25">
      <c r="A18" s="11">
        <v>25</v>
      </c>
      <c r="B18">
        <v>100</v>
      </c>
      <c r="C18">
        <v>5.00057E-2</v>
      </c>
      <c r="D18">
        <v>5.2424999999999999E-2</v>
      </c>
      <c r="E18" s="1">
        <v>36.334600000000002</v>
      </c>
      <c r="F18">
        <v>99.97</v>
      </c>
      <c r="G18">
        <v>7.8737799999999997E-2</v>
      </c>
      <c r="H18">
        <v>0.176178</v>
      </c>
      <c r="I18" s="1">
        <v>12.1328</v>
      </c>
      <c r="J18">
        <v>97.52</v>
      </c>
      <c r="K18">
        <v>3.1918127000000012</v>
      </c>
      <c r="L18">
        <v>5.7989026999999975</v>
      </c>
      <c r="M18" s="1">
        <v>124.9598</v>
      </c>
    </row>
    <row r="19" spans="1:13" x14ac:dyDescent="0.25">
      <c r="A19" s="10">
        <v>50</v>
      </c>
      <c r="B19">
        <v>100</v>
      </c>
      <c r="C19">
        <v>3.0813899999999995E-2</v>
      </c>
      <c r="D19">
        <v>3.2197499999999997E-2</v>
      </c>
      <c r="E19" s="1">
        <v>36.551099999999991</v>
      </c>
      <c r="F19">
        <v>99.96</v>
      </c>
      <c r="G19">
        <v>6.7482799999999996E-2</v>
      </c>
      <c r="H19">
        <v>0.1501876</v>
      </c>
      <c r="I19" s="1">
        <v>13.014900000000001</v>
      </c>
      <c r="J19">
        <v>96.98</v>
      </c>
      <c r="K19">
        <v>3.0439309000000003</v>
      </c>
      <c r="L19">
        <v>5.7743507999999988</v>
      </c>
      <c r="M19" s="1">
        <v>119.41779999999997</v>
      </c>
    </row>
    <row r="20" spans="1:13" x14ac:dyDescent="0.25">
      <c r="A20" s="11">
        <v>75</v>
      </c>
      <c r="B20">
        <v>100</v>
      </c>
      <c r="C20">
        <v>3.3756399999999992E-2</v>
      </c>
      <c r="D20">
        <v>3.5876899999999996E-2</v>
      </c>
      <c r="E20" s="1">
        <v>36.226300000000009</v>
      </c>
      <c r="F20">
        <v>99.95</v>
      </c>
      <c r="G20">
        <v>5.7422300000000003E-2</v>
      </c>
      <c r="H20">
        <v>0.1272817</v>
      </c>
      <c r="I20" s="1">
        <v>12.762</v>
      </c>
      <c r="J20">
        <v>96.96</v>
      </c>
      <c r="K20">
        <v>4.1678338999999998</v>
      </c>
      <c r="L20">
        <v>6.9813745000000003</v>
      </c>
      <c r="M20" s="1">
        <v>194.68379999999999</v>
      </c>
    </row>
    <row r="21" spans="1:13" x14ac:dyDescent="0.25">
      <c r="A21" s="11">
        <v>100</v>
      </c>
      <c r="B21">
        <v>100</v>
      </c>
      <c r="C21">
        <v>2.5098799999999994E-2</v>
      </c>
      <c r="D21">
        <v>2.35631E-2</v>
      </c>
      <c r="E21" s="1">
        <v>37.133099999999992</v>
      </c>
      <c r="F21">
        <v>99.93</v>
      </c>
      <c r="G21">
        <v>5.9876899999999997E-2</v>
      </c>
      <c r="H21">
        <v>0.13141610000000001</v>
      </c>
      <c r="I21" s="1">
        <v>13.8149</v>
      </c>
      <c r="J21">
        <v>96.87</v>
      </c>
      <c r="K21">
        <v>3.0922149999999999</v>
      </c>
      <c r="L21">
        <v>5.6032628999999998</v>
      </c>
      <c r="M21" s="1">
        <v>116.84529999999994</v>
      </c>
    </row>
    <row r="22" spans="1:13" x14ac:dyDescent="0.25">
      <c r="A22" s="12">
        <v>125</v>
      </c>
      <c r="B22" s="7">
        <v>100</v>
      </c>
      <c r="C22" s="2">
        <v>2.4921700000000001E-2</v>
      </c>
      <c r="D22" s="2">
        <v>2.3163799999999998E-2</v>
      </c>
      <c r="E22" s="3">
        <v>37.469099999999997</v>
      </c>
      <c r="F22" s="2">
        <v>99.93</v>
      </c>
      <c r="G22" s="2">
        <v>6.25251E-2</v>
      </c>
      <c r="H22" s="2">
        <v>0.13327539999999999</v>
      </c>
      <c r="I22" s="3">
        <v>13.171900000000001</v>
      </c>
      <c r="J22" s="7">
        <v>96.54</v>
      </c>
      <c r="K22" s="2">
        <v>3.5891123</v>
      </c>
      <c r="L22" s="2">
        <v>5.3189275</v>
      </c>
      <c r="M22" s="3">
        <v>175.69450000000001</v>
      </c>
    </row>
    <row r="23" spans="1:13" x14ac:dyDescent="0.25">
      <c r="A23" s="9" t="s">
        <v>13</v>
      </c>
      <c r="B23" s="4" t="s">
        <v>2</v>
      </c>
      <c r="C23" s="4" t="s">
        <v>3</v>
      </c>
      <c r="D23" s="4" t="s">
        <v>4</v>
      </c>
      <c r="E23" s="5" t="s">
        <v>5</v>
      </c>
      <c r="F23" s="4" t="s">
        <v>2</v>
      </c>
      <c r="G23" s="4" t="s">
        <v>3</v>
      </c>
      <c r="H23" s="4" t="s">
        <v>4</v>
      </c>
      <c r="I23" s="5" t="s">
        <v>5</v>
      </c>
      <c r="J23" s="4" t="s">
        <v>2</v>
      </c>
      <c r="K23" s="4" t="s">
        <v>3</v>
      </c>
      <c r="L23" s="4" t="s">
        <v>4</v>
      </c>
      <c r="M23" s="5" t="s">
        <v>5</v>
      </c>
    </row>
    <row r="24" spans="1:13" x14ac:dyDescent="0.25">
      <c r="A24" s="11">
        <v>0.71</v>
      </c>
      <c r="B24">
        <v>100</v>
      </c>
      <c r="C24">
        <v>2.3593200000000002E-2</v>
      </c>
      <c r="D24">
        <v>2.0279500000000002E-2</v>
      </c>
      <c r="E24" s="1">
        <v>36.928799999999988</v>
      </c>
      <c r="F24">
        <v>99.91</v>
      </c>
      <c r="G24">
        <v>6.7471600000000007E-2</v>
      </c>
      <c r="H24">
        <v>0.15430050000000001</v>
      </c>
      <c r="I24" s="1">
        <v>14.2324</v>
      </c>
      <c r="J24">
        <v>96.88</v>
      </c>
      <c r="K24">
        <v>2.3583976000000004</v>
      </c>
      <c r="L24">
        <v>5.3093800000000018</v>
      </c>
      <c r="M24" s="1">
        <v>133.87680000000003</v>
      </c>
    </row>
    <row r="25" spans="1:13" x14ac:dyDescent="0.25">
      <c r="A25" s="11">
        <v>0.80500000000000005</v>
      </c>
      <c r="B25">
        <v>100</v>
      </c>
      <c r="C25">
        <v>2.5063900000000007E-2</v>
      </c>
      <c r="D25">
        <v>2.1850500000000005E-2</v>
      </c>
      <c r="E25" s="1">
        <v>36.855800000000002</v>
      </c>
      <c r="F25">
        <v>99.98</v>
      </c>
      <c r="G25">
        <v>7.3982599999999996E-2</v>
      </c>
      <c r="H25">
        <v>0.17057159999999999</v>
      </c>
      <c r="I25" s="1">
        <v>12.767799999999999</v>
      </c>
      <c r="J25">
        <v>96.87</v>
      </c>
      <c r="K25">
        <v>2.8530537000000002</v>
      </c>
      <c r="L25">
        <v>5.187165199999999</v>
      </c>
      <c r="M25" s="1">
        <v>119.26979999999995</v>
      </c>
    </row>
    <row r="26" spans="1:13" x14ac:dyDescent="0.25">
      <c r="A26" s="11">
        <v>0.9</v>
      </c>
      <c r="B26">
        <v>100</v>
      </c>
      <c r="C26">
        <v>2.6902000000000002E-2</v>
      </c>
      <c r="D26">
        <v>2.5581800000000002E-2</v>
      </c>
      <c r="E26" s="1">
        <v>36.766199999999998</v>
      </c>
      <c r="F26">
        <v>99.99</v>
      </c>
      <c r="G26">
        <v>7.7727300000000013E-2</v>
      </c>
      <c r="H26">
        <v>0.2688007999999999</v>
      </c>
      <c r="I26" s="1">
        <v>17.497700000000009</v>
      </c>
      <c r="J26">
        <v>97.23</v>
      </c>
      <c r="K26">
        <v>3.1987638</v>
      </c>
      <c r="L26">
        <v>4.9094321000000001</v>
      </c>
      <c r="M26" s="1">
        <v>128.84030000000001</v>
      </c>
    </row>
    <row r="27" spans="1:13" x14ac:dyDescent="0.25">
      <c r="A27" s="10">
        <v>0.995</v>
      </c>
      <c r="B27">
        <v>100</v>
      </c>
      <c r="C27">
        <v>3.0813899999999995E-2</v>
      </c>
      <c r="D27">
        <v>3.2197499999999997E-2</v>
      </c>
      <c r="E27" s="1">
        <v>36.551099999999991</v>
      </c>
      <c r="F27">
        <v>99.96</v>
      </c>
      <c r="G27">
        <v>6.7482799999999996E-2</v>
      </c>
      <c r="H27">
        <v>0.1501876</v>
      </c>
      <c r="I27" s="1">
        <v>13.014900000000001</v>
      </c>
      <c r="J27">
        <v>96.98</v>
      </c>
      <c r="K27">
        <v>3.0439309000000003</v>
      </c>
      <c r="L27">
        <v>5.7743507999999988</v>
      </c>
      <c r="M27" s="1">
        <v>119.41779999999997</v>
      </c>
    </row>
    <row r="28" spans="1:13" x14ac:dyDescent="0.25">
      <c r="A28" s="12">
        <v>0.999</v>
      </c>
      <c r="B28" s="2">
        <v>100</v>
      </c>
      <c r="C28" s="2">
        <v>9.3032199999999995E-2</v>
      </c>
      <c r="D28" s="2">
        <v>0.13596900000000001</v>
      </c>
      <c r="E28" s="3">
        <v>38.214700000000001</v>
      </c>
      <c r="F28" s="2">
        <v>99.96</v>
      </c>
      <c r="G28" s="2">
        <v>0.1077255</v>
      </c>
      <c r="H28" s="2">
        <v>0.21075089999999999</v>
      </c>
      <c r="I28" s="3">
        <v>11.4971</v>
      </c>
      <c r="J28" s="2">
        <v>97.74</v>
      </c>
      <c r="K28" s="2">
        <v>5.1063786000000002</v>
      </c>
      <c r="L28" s="2">
        <v>8.2633105000000029</v>
      </c>
      <c r="M28" s="3">
        <v>178.23310000000001</v>
      </c>
    </row>
    <row r="32" spans="1:13" x14ac:dyDescent="0.25">
      <c r="A32" s="101" t="s">
        <v>0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3"/>
    </row>
    <row r="33" spans="1:13" x14ac:dyDescent="0.25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6"/>
    </row>
    <row r="34" spans="1:13" x14ac:dyDescent="0.25">
      <c r="A34" s="87" t="s">
        <v>23</v>
      </c>
      <c r="B34" s="89" t="s">
        <v>20</v>
      </c>
      <c r="C34" s="90"/>
      <c r="D34" s="90"/>
      <c r="E34" s="91"/>
      <c r="F34" s="95" t="s">
        <v>21</v>
      </c>
      <c r="G34" s="96"/>
      <c r="H34" s="96"/>
      <c r="I34" s="97"/>
      <c r="J34" s="95" t="s">
        <v>22</v>
      </c>
      <c r="K34" s="96"/>
      <c r="L34" s="96"/>
      <c r="M34" s="97"/>
    </row>
    <row r="35" spans="1:13" x14ac:dyDescent="0.25">
      <c r="A35" s="88"/>
      <c r="B35" s="92"/>
      <c r="C35" s="93"/>
      <c r="D35" s="93"/>
      <c r="E35" s="94"/>
      <c r="F35" s="98"/>
      <c r="G35" s="99"/>
      <c r="H35" s="99"/>
      <c r="I35" s="100"/>
      <c r="J35" s="98"/>
      <c r="K35" s="99"/>
      <c r="L35" s="99"/>
      <c r="M35" s="100"/>
    </row>
    <row r="36" spans="1:13" x14ac:dyDescent="0.25">
      <c r="A36" s="9" t="s">
        <v>1</v>
      </c>
      <c r="B36" s="4" t="s">
        <v>2</v>
      </c>
      <c r="C36" s="4" t="s">
        <v>3</v>
      </c>
      <c r="D36" s="4" t="s">
        <v>4</v>
      </c>
      <c r="E36" s="5" t="s">
        <v>5</v>
      </c>
      <c r="F36" s="4" t="s">
        <v>2</v>
      </c>
      <c r="G36" s="4" t="s">
        <v>3</v>
      </c>
      <c r="H36" s="4" t="s">
        <v>4</v>
      </c>
      <c r="I36" s="5" t="s">
        <v>5</v>
      </c>
      <c r="J36" s="4" t="s">
        <v>2</v>
      </c>
      <c r="K36" s="4" t="s">
        <v>3</v>
      </c>
      <c r="L36" s="4" t="s">
        <v>4</v>
      </c>
      <c r="M36" s="5" t="s">
        <v>5</v>
      </c>
    </row>
    <row r="37" spans="1:13" x14ac:dyDescent="0.25">
      <c r="A37" s="11">
        <v>5</v>
      </c>
      <c r="B37">
        <v>99.97</v>
      </c>
      <c r="C37">
        <v>2.0994700000000002E-2</v>
      </c>
      <c r="D37">
        <v>2.0217499999999999E-2</v>
      </c>
      <c r="E37" s="1">
        <v>57.811199999999999</v>
      </c>
      <c r="F37">
        <v>99.95</v>
      </c>
      <c r="G37">
        <v>5.5015300000000003E-2</v>
      </c>
      <c r="H37">
        <v>0.12563389999999999</v>
      </c>
      <c r="I37" s="1">
        <v>12.484500000000001</v>
      </c>
      <c r="J37">
        <v>96.91</v>
      </c>
      <c r="K37">
        <v>3.2682362</v>
      </c>
      <c r="L37">
        <v>6.7353384000000007</v>
      </c>
      <c r="M37" s="1">
        <v>270.88470000000001</v>
      </c>
    </row>
    <row r="38" spans="1:13" x14ac:dyDescent="0.25">
      <c r="A38" s="10">
        <v>10</v>
      </c>
      <c r="B38">
        <v>100</v>
      </c>
      <c r="C38">
        <v>3.0813899999999995E-2</v>
      </c>
      <c r="D38">
        <v>3.2197499999999997E-2</v>
      </c>
      <c r="E38" s="1">
        <v>36.551099999999991</v>
      </c>
      <c r="F38">
        <v>99.96</v>
      </c>
      <c r="G38">
        <v>6.7482799999999996E-2</v>
      </c>
      <c r="H38">
        <v>0.1501876</v>
      </c>
      <c r="I38" s="1">
        <v>13.014900000000001</v>
      </c>
      <c r="J38">
        <v>96.98</v>
      </c>
      <c r="K38">
        <v>3.0439309000000003</v>
      </c>
      <c r="L38">
        <v>5.7743507999999988</v>
      </c>
      <c r="M38" s="1">
        <v>119.41779999999997</v>
      </c>
    </row>
    <row r="39" spans="1:13" x14ac:dyDescent="0.25">
      <c r="A39" s="11">
        <v>15</v>
      </c>
      <c r="B39">
        <v>100</v>
      </c>
      <c r="C39">
        <v>3.4057299999999999E-2</v>
      </c>
      <c r="D39">
        <v>3.18921E-2</v>
      </c>
      <c r="E39" s="1">
        <v>29.650200000000002</v>
      </c>
      <c r="F39">
        <v>99.91</v>
      </c>
      <c r="G39">
        <v>7.3495099999999994E-2</v>
      </c>
      <c r="H39">
        <v>0.1579248</v>
      </c>
      <c r="I39" s="1">
        <v>11.571099999999999</v>
      </c>
      <c r="J39">
        <v>97.05</v>
      </c>
      <c r="K39">
        <v>2.7526977000000006</v>
      </c>
      <c r="L39">
        <v>5.3476190999999975</v>
      </c>
      <c r="M39" s="1">
        <v>86.777700000000024</v>
      </c>
    </row>
    <row r="40" spans="1:13" x14ac:dyDescent="0.25">
      <c r="A40" s="11">
        <v>20</v>
      </c>
      <c r="B40">
        <v>100</v>
      </c>
      <c r="C40">
        <v>4.0565999999999998E-2</v>
      </c>
      <c r="D40">
        <v>3.8641599999999998E-2</v>
      </c>
      <c r="E40" s="1">
        <v>26.381399999999999</v>
      </c>
      <c r="F40">
        <v>99.96</v>
      </c>
      <c r="G40">
        <v>7.8364299999999998E-2</v>
      </c>
      <c r="H40">
        <v>0.15972169999999999</v>
      </c>
      <c r="I40" s="1">
        <v>9.6225000000000005</v>
      </c>
      <c r="J40">
        <v>96.88</v>
      </c>
      <c r="K40">
        <v>2.8546445</v>
      </c>
      <c r="L40">
        <v>5.1728366000000001</v>
      </c>
      <c r="M40" s="1">
        <v>65.299000000000007</v>
      </c>
    </row>
    <row r="41" spans="1:13" x14ac:dyDescent="0.25">
      <c r="A41" s="12">
        <v>25</v>
      </c>
      <c r="B41" s="2">
        <v>100</v>
      </c>
      <c r="C41" s="2">
        <v>4.9644099999999997E-2</v>
      </c>
      <c r="D41" s="2">
        <v>4.6285899999999998E-2</v>
      </c>
      <c r="E41" s="3">
        <v>25.1494</v>
      </c>
      <c r="F41" s="2">
        <v>99.96</v>
      </c>
      <c r="G41" s="2">
        <v>9.6090700000000001E-2</v>
      </c>
      <c r="H41" s="2">
        <v>0.19329060000000001</v>
      </c>
      <c r="I41" s="3">
        <v>8.6608000000000001</v>
      </c>
      <c r="J41" s="2">
        <v>96.97</v>
      </c>
      <c r="K41" s="2">
        <v>3.0370531999999999</v>
      </c>
      <c r="L41" s="2">
        <v>5.3125420999999982</v>
      </c>
      <c r="M41" s="3">
        <v>62.306700000000006</v>
      </c>
    </row>
    <row r="42" spans="1:13" x14ac:dyDescent="0.25">
      <c r="A42" s="9" t="s">
        <v>6</v>
      </c>
      <c r="B42" s="4" t="s">
        <v>2</v>
      </c>
      <c r="C42" s="4" t="s">
        <v>3</v>
      </c>
      <c r="D42" s="4" t="s">
        <v>4</v>
      </c>
      <c r="E42" s="5" t="s">
        <v>5</v>
      </c>
      <c r="F42" s="4" t="s">
        <v>2</v>
      </c>
      <c r="G42" s="4" t="s">
        <v>3</v>
      </c>
      <c r="H42" s="4" t="s">
        <v>4</v>
      </c>
      <c r="I42" s="5" t="s">
        <v>5</v>
      </c>
      <c r="J42" s="4" t="s">
        <v>2</v>
      </c>
      <c r="K42" s="4" t="s">
        <v>3</v>
      </c>
      <c r="L42" s="4" t="s">
        <v>4</v>
      </c>
      <c r="M42" s="5" t="s">
        <v>5</v>
      </c>
    </row>
    <row r="43" spans="1:13" x14ac:dyDescent="0.25">
      <c r="A43" s="11">
        <v>0.3</v>
      </c>
      <c r="B43">
        <v>100</v>
      </c>
      <c r="C43">
        <v>2.0168800000000001E-2</v>
      </c>
      <c r="D43">
        <v>1.7112100000000002E-2</v>
      </c>
      <c r="E43" s="1">
        <v>30.451499999999999</v>
      </c>
      <c r="F43">
        <v>100</v>
      </c>
      <c r="G43">
        <v>2.8728500000000001E-2</v>
      </c>
      <c r="H43">
        <v>3.7676099999999997E-2</v>
      </c>
      <c r="I43" s="1">
        <v>7.6387999999999998</v>
      </c>
      <c r="M43" s="1"/>
    </row>
    <row r="44" spans="1:13" x14ac:dyDescent="0.25">
      <c r="A44" s="11">
        <v>0.5</v>
      </c>
      <c r="B44">
        <v>100</v>
      </c>
      <c r="C44">
        <v>2.3727800000000007E-2</v>
      </c>
      <c r="D44">
        <v>2.1718600000000001E-2</v>
      </c>
      <c r="E44" s="1">
        <v>31.543800000000005</v>
      </c>
      <c r="F44">
        <v>100</v>
      </c>
      <c r="G44">
        <v>3.3788199999999997E-2</v>
      </c>
      <c r="H44">
        <v>5.0318300000000003E-2</v>
      </c>
      <c r="I44" s="1">
        <v>8.5139999999999993</v>
      </c>
      <c r="M44" s="1"/>
    </row>
    <row r="45" spans="1:13" x14ac:dyDescent="0.25">
      <c r="A45" s="11">
        <v>0.7</v>
      </c>
      <c r="B45">
        <v>100</v>
      </c>
      <c r="C45">
        <v>3.4519099999999997E-2</v>
      </c>
      <c r="D45">
        <v>3.0218700000000001E-2</v>
      </c>
      <c r="E45" s="1">
        <v>32.617600000000003</v>
      </c>
      <c r="F45">
        <v>100</v>
      </c>
      <c r="G45">
        <v>8.0077999999999996E-2</v>
      </c>
      <c r="H45">
        <v>0.13264419999999999</v>
      </c>
      <c r="I45" s="1">
        <v>8.9402000000000008</v>
      </c>
      <c r="M45" s="1"/>
    </row>
    <row r="46" spans="1:13" x14ac:dyDescent="0.25">
      <c r="A46" s="10">
        <v>0.9</v>
      </c>
      <c r="B46">
        <v>100</v>
      </c>
      <c r="C46">
        <v>3.0813899999999995E-2</v>
      </c>
      <c r="D46">
        <v>3.2197499999999997E-2</v>
      </c>
      <c r="E46" s="1">
        <v>36.551099999999991</v>
      </c>
      <c r="F46">
        <v>99.96</v>
      </c>
      <c r="G46">
        <v>6.7482799999999996E-2</v>
      </c>
      <c r="H46">
        <v>0.1501876</v>
      </c>
      <c r="I46" s="1">
        <v>13.014900000000001</v>
      </c>
      <c r="J46">
        <v>96.98</v>
      </c>
      <c r="K46">
        <v>3.0439309000000003</v>
      </c>
      <c r="L46">
        <v>5.7743507999999988</v>
      </c>
      <c r="M46" s="1">
        <v>119.41779999999997</v>
      </c>
    </row>
    <row r="47" spans="1:13" x14ac:dyDescent="0.25">
      <c r="A47" s="12">
        <v>0.99</v>
      </c>
      <c r="B47" s="2">
        <v>99.99</v>
      </c>
      <c r="C47" s="2">
        <v>3.0761700000000006E-2</v>
      </c>
      <c r="D47" s="2">
        <v>2.8840600000000004E-2</v>
      </c>
      <c r="E47" s="3">
        <v>42.1128</v>
      </c>
      <c r="F47" s="2">
        <v>99.76</v>
      </c>
      <c r="G47" s="2">
        <v>0.1137678</v>
      </c>
      <c r="H47" s="2">
        <v>0.24465490000000001</v>
      </c>
      <c r="I47" s="3">
        <v>16.817900000000002</v>
      </c>
      <c r="J47" s="2"/>
      <c r="K47" s="2"/>
      <c r="L47" s="2"/>
      <c r="M47" s="3"/>
    </row>
    <row r="48" spans="1:13" x14ac:dyDescent="0.25">
      <c r="A48" s="9" t="s">
        <v>7</v>
      </c>
      <c r="B48" s="4" t="s">
        <v>2</v>
      </c>
      <c r="C48" s="4" t="s">
        <v>3</v>
      </c>
      <c r="D48" s="4" t="s">
        <v>4</v>
      </c>
      <c r="E48" s="5" t="s">
        <v>5</v>
      </c>
      <c r="F48" s="4" t="s">
        <v>2</v>
      </c>
      <c r="G48" s="4" t="s">
        <v>3</v>
      </c>
      <c r="H48" s="4" t="s">
        <v>4</v>
      </c>
      <c r="I48" s="5" t="s">
        <v>5</v>
      </c>
      <c r="J48" s="4" t="s">
        <v>2</v>
      </c>
      <c r="K48" s="4" t="s">
        <v>3</v>
      </c>
      <c r="L48" s="4" t="s">
        <v>4</v>
      </c>
      <c r="M48" s="5" t="s">
        <v>5</v>
      </c>
    </row>
    <row r="49" spans="1:13" x14ac:dyDescent="0.25">
      <c r="A49" s="11">
        <v>0.3</v>
      </c>
      <c r="B49">
        <v>99.99</v>
      </c>
      <c r="C49">
        <v>6.4938999999999997E-2</v>
      </c>
      <c r="D49">
        <v>6.10295E-2</v>
      </c>
      <c r="E49" s="1">
        <v>61.061900000000001</v>
      </c>
      <c r="F49">
        <v>99.69</v>
      </c>
      <c r="G49">
        <v>0.1149925</v>
      </c>
      <c r="H49">
        <v>0.26062279999999999</v>
      </c>
      <c r="I49" s="1">
        <v>18.592400000000001</v>
      </c>
      <c r="M49" s="1"/>
    </row>
    <row r="50" spans="1:13" x14ac:dyDescent="0.25">
      <c r="A50" s="11">
        <v>0.5</v>
      </c>
      <c r="B50">
        <v>100</v>
      </c>
      <c r="C50">
        <v>5.5712900000000003E-2</v>
      </c>
      <c r="D50">
        <v>5.5382099999999997E-2</v>
      </c>
      <c r="E50" s="1">
        <v>51.2896</v>
      </c>
      <c r="F50">
        <v>99.79</v>
      </c>
      <c r="G50">
        <v>0.1100747</v>
      </c>
      <c r="H50">
        <v>0.22326099999999999</v>
      </c>
      <c r="I50" s="1">
        <v>13.6677</v>
      </c>
      <c r="M50" s="1"/>
    </row>
    <row r="51" spans="1:13" x14ac:dyDescent="0.25">
      <c r="A51" s="11">
        <v>0.7</v>
      </c>
      <c r="B51">
        <v>100</v>
      </c>
      <c r="C51">
        <v>4.0842900000000001E-2</v>
      </c>
      <c r="D51">
        <v>3.7781599999999999E-2</v>
      </c>
      <c r="E51" s="1">
        <v>44.652700000000003</v>
      </c>
      <c r="F51">
        <v>99.78</v>
      </c>
      <c r="G51">
        <v>0.13631289999999999</v>
      </c>
      <c r="H51">
        <v>0.25364110000000001</v>
      </c>
      <c r="I51" s="1">
        <v>12.523899999999999</v>
      </c>
      <c r="M51" s="1"/>
    </row>
    <row r="52" spans="1:13" x14ac:dyDescent="0.25">
      <c r="A52" s="10">
        <v>0.9</v>
      </c>
      <c r="B52">
        <v>100</v>
      </c>
      <c r="C52">
        <v>3.0813899999999995E-2</v>
      </c>
      <c r="D52">
        <v>3.2197499999999997E-2</v>
      </c>
      <c r="E52" s="1">
        <v>36.551099999999991</v>
      </c>
      <c r="F52">
        <v>99.96</v>
      </c>
      <c r="G52">
        <v>6.7482799999999996E-2</v>
      </c>
      <c r="H52">
        <v>0.1501876</v>
      </c>
      <c r="I52" s="1">
        <v>13.014900000000001</v>
      </c>
      <c r="J52">
        <v>96.98</v>
      </c>
      <c r="K52">
        <v>3.0439309000000003</v>
      </c>
      <c r="L52">
        <v>5.7743507999999988</v>
      </c>
      <c r="M52" s="1">
        <v>119.41779999999997</v>
      </c>
    </row>
    <row r="53" spans="1:13" x14ac:dyDescent="0.25">
      <c r="A53" s="12">
        <v>0.99</v>
      </c>
      <c r="B53" s="2">
        <v>100</v>
      </c>
      <c r="C53" s="2">
        <v>2.6110000000000001E-2</v>
      </c>
      <c r="D53" s="2">
        <v>2.3628699999999999E-2</v>
      </c>
      <c r="E53" s="3">
        <v>36.174199999999999</v>
      </c>
      <c r="F53">
        <v>99.87</v>
      </c>
      <c r="G53">
        <v>9.3397300000000003E-2</v>
      </c>
      <c r="H53">
        <v>0.18968650000000001</v>
      </c>
      <c r="I53" s="1">
        <v>11.3124</v>
      </c>
      <c r="J53" s="2"/>
      <c r="K53" s="2"/>
      <c r="L53" s="2"/>
      <c r="M53" s="3"/>
    </row>
    <row r="54" spans="1:13" x14ac:dyDescent="0.25">
      <c r="A54" s="9" t="s">
        <v>8</v>
      </c>
      <c r="B54" s="4" t="s">
        <v>2</v>
      </c>
      <c r="C54" s="4" t="s">
        <v>3</v>
      </c>
      <c r="D54" s="4" t="s">
        <v>4</v>
      </c>
      <c r="E54" s="5" t="s">
        <v>5</v>
      </c>
      <c r="F54" s="4" t="s">
        <v>2</v>
      </c>
      <c r="G54" s="4" t="s">
        <v>3</v>
      </c>
      <c r="H54" s="4" t="s">
        <v>4</v>
      </c>
      <c r="I54" s="5" t="s">
        <v>5</v>
      </c>
      <c r="J54" s="4" t="s">
        <v>2</v>
      </c>
      <c r="K54" s="4" t="s">
        <v>3</v>
      </c>
      <c r="L54" s="4" t="s">
        <v>4</v>
      </c>
      <c r="M54" s="5" t="s">
        <v>5</v>
      </c>
    </row>
    <row r="55" spans="1:13" x14ac:dyDescent="0.25">
      <c r="A55" s="11">
        <v>2.5000000000000001E-3</v>
      </c>
      <c r="B55">
        <v>100</v>
      </c>
      <c r="C55">
        <v>3.9749300000000001E-2</v>
      </c>
      <c r="D55">
        <v>3.6967600000000003E-2</v>
      </c>
      <c r="E55" s="1">
        <v>39.025599999999997</v>
      </c>
      <c r="F55">
        <v>99.95</v>
      </c>
      <c r="G55">
        <v>6.5005999999999994E-2</v>
      </c>
      <c r="H55">
        <v>0.1376715</v>
      </c>
      <c r="I55" s="1">
        <v>11.8337</v>
      </c>
      <c r="M55" s="1"/>
    </row>
    <row r="56" spans="1:13" x14ac:dyDescent="0.25">
      <c r="A56" s="10">
        <v>5.0000000000000001E-3</v>
      </c>
      <c r="B56">
        <v>100</v>
      </c>
      <c r="C56">
        <v>3.0813899999999995E-2</v>
      </c>
      <c r="D56">
        <v>3.2197499999999997E-2</v>
      </c>
      <c r="E56" s="1">
        <v>36.551099999999991</v>
      </c>
      <c r="F56">
        <v>99.96</v>
      </c>
      <c r="G56">
        <v>6.7482799999999996E-2</v>
      </c>
      <c r="H56">
        <v>0.1501876</v>
      </c>
      <c r="I56" s="1">
        <v>13.014900000000001</v>
      </c>
      <c r="J56">
        <v>96.98</v>
      </c>
      <c r="K56">
        <v>3.0439309000000003</v>
      </c>
      <c r="L56">
        <v>5.7743507999999988</v>
      </c>
      <c r="M56" s="1">
        <v>119.41779999999997</v>
      </c>
    </row>
    <row r="57" spans="1:13" x14ac:dyDescent="0.25">
      <c r="A57" s="11">
        <v>7.4999999999999997E-3</v>
      </c>
      <c r="B57">
        <v>100</v>
      </c>
      <c r="C57">
        <v>4.0615900000000003E-2</v>
      </c>
      <c r="D57">
        <v>3.6896199999999997E-2</v>
      </c>
      <c r="E57" s="1">
        <v>38.498800000000003</v>
      </c>
      <c r="F57">
        <v>99.98</v>
      </c>
      <c r="G57">
        <v>6.5512899999999999E-2</v>
      </c>
      <c r="H57">
        <v>0.13361419999999999</v>
      </c>
      <c r="I57" s="1">
        <v>11.6165</v>
      </c>
      <c r="M57" s="1"/>
    </row>
    <row r="58" spans="1:13" x14ac:dyDescent="0.25">
      <c r="A58" s="11">
        <v>0.01</v>
      </c>
      <c r="B58">
        <v>100</v>
      </c>
      <c r="C58">
        <v>3.5639200000000003E-2</v>
      </c>
      <c r="D58">
        <v>3.2100499999999997E-2</v>
      </c>
      <c r="E58" s="1">
        <v>39.741199999999999</v>
      </c>
      <c r="F58">
        <v>99.92</v>
      </c>
      <c r="G58">
        <v>6.0103999999999998E-2</v>
      </c>
      <c r="H58">
        <v>0.1210956</v>
      </c>
      <c r="I58" s="1">
        <v>12.1256</v>
      </c>
      <c r="M58" s="1"/>
    </row>
    <row r="59" spans="1:13" x14ac:dyDescent="0.25">
      <c r="A59" s="12">
        <v>1.2500000000000001E-2</v>
      </c>
      <c r="B59" s="2">
        <v>99.99</v>
      </c>
      <c r="C59" s="2">
        <v>4.9038100000000001E-2</v>
      </c>
      <c r="D59" s="2">
        <v>5.0171899999999998E-2</v>
      </c>
      <c r="E59" s="3">
        <v>38.0961</v>
      </c>
      <c r="F59" s="2">
        <v>99.92</v>
      </c>
      <c r="G59" s="2">
        <v>6.4411599999999999E-2</v>
      </c>
      <c r="H59" s="2">
        <v>0.13640720000000001</v>
      </c>
      <c r="I59" s="3">
        <v>12.543200000000001</v>
      </c>
      <c r="J59" s="2"/>
      <c r="K59" s="2"/>
      <c r="L59" s="2"/>
      <c r="M59" s="3"/>
    </row>
    <row r="62" spans="1:13" x14ac:dyDescent="0.25">
      <c r="A62" s="107" t="s">
        <v>14</v>
      </c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9"/>
    </row>
    <row r="63" spans="1:13" x14ac:dyDescent="0.25">
      <c r="A63" s="110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2"/>
    </row>
    <row r="64" spans="1:13" x14ac:dyDescent="0.25">
      <c r="A64" s="87" t="s">
        <v>23</v>
      </c>
      <c r="B64" s="89" t="s">
        <v>20</v>
      </c>
      <c r="C64" s="90"/>
      <c r="D64" s="90"/>
      <c r="E64" s="91"/>
      <c r="F64" s="95" t="s">
        <v>21</v>
      </c>
      <c r="G64" s="96"/>
      <c r="H64" s="96"/>
      <c r="I64" s="97"/>
      <c r="J64" s="95" t="s">
        <v>22</v>
      </c>
      <c r="K64" s="96"/>
      <c r="L64" s="96"/>
      <c r="M64" s="97"/>
    </row>
    <row r="65" spans="1:13" x14ac:dyDescent="0.25">
      <c r="A65" s="88"/>
      <c r="B65" s="92"/>
      <c r="C65" s="93"/>
      <c r="D65" s="93"/>
      <c r="E65" s="94"/>
      <c r="F65" s="98"/>
      <c r="G65" s="99"/>
      <c r="H65" s="99"/>
      <c r="I65" s="100"/>
      <c r="J65" s="98"/>
      <c r="K65" s="99"/>
      <c r="L65" s="99"/>
      <c r="M65" s="100"/>
    </row>
    <row r="66" spans="1:13" x14ac:dyDescent="0.25">
      <c r="A66" s="9" t="s">
        <v>15</v>
      </c>
      <c r="B66" s="4" t="s">
        <v>2</v>
      </c>
      <c r="C66" s="4" t="s">
        <v>3</v>
      </c>
      <c r="D66" s="4" t="s">
        <v>4</v>
      </c>
      <c r="E66" s="5" t="s">
        <v>5</v>
      </c>
      <c r="F66" s="4" t="s">
        <v>2</v>
      </c>
      <c r="G66" s="4" t="s">
        <v>3</v>
      </c>
      <c r="H66" s="4" t="s">
        <v>4</v>
      </c>
      <c r="I66" s="5" t="s">
        <v>5</v>
      </c>
      <c r="J66" s="4" t="s">
        <v>2</v>
      </c>
      <c r="K66" s="4" t="s">
        <v>3</v>
      </c>
      <c r="L66" s="4" t="s">
        <v>4</v>
      </c>
      <c r="M66" s="5" t="s">
        <v>5</v>
      </c>
    </row>
    <row r="67" spans="1:13" x14ac:dyDescent="0.25">
      <c r="A67" s="11">
        <v>1</v>
      </c>
      <c r="B67">
        <v>100</v>
      </c>
      <c r="C67">
        <v>7.6899100000000012E-2</v>
      </c>
      <c r="D67">
        <v>7.4932899999999997E-2</v>
      </c>
      <c r="E67" s="1">
        <v>119.44539999999999</v>
      </c>
      <c r="F67">
        <v>99.83</v>
      </c>
      <c r="G67">
        <v>0.5400353</v>
      </c>
      <c r="H67">
        <v>0.85618039999999995</v>
      </c>
      <c r="I67" s="1">
        <v>103.7225</v>
      </c>
      <c r="J67">
        <v>96.41</v>
      </c>
      <c r="K67">
        <v>8.4311557999999991</v>
      </c>
      <c r="L67">
        <v>11.5151533</v>
      </c>
      <c r="M67" s="1">
        <v>591.10390000000029</v>
      </c>
    </row>
    <row r="68" spans="1:13" x14ac:dyDescent="0.25">
      <c r="A68" s="11">
        <v>2</v>
      </c>
      <c r="B68">
        <v>100</v>
      </c>
      <c r="C68">
        <v>3.7118999999999999E-2</v>
      </c>
      <c r="D68">
        <v>3.4148699999999997E-2</v>
      </c>
      <c r="E68" s="1">
        <v>64.658799999999999</v>
      </c>
      <c r="F68">
        <v>99.8</v>
      </c>
      <c r="G68">
        <v>0.32698359999999999</v>
      </c>
      <c r="H68">
        <v>0.66051669999999996</v>
      </c>
      <c r="I68" s="1">
        <v>36.0274</v>
      </c>
      <c r="J68">
        <v>96.85</v>
      </c>
      <c r="K68">
        <v>6.8317619000000001</v>
      </c>
      <c r="L68">
        <v>8.9182906000000006</v>
      </c>
      <c r="M68" s="1">
        <v>329.97820000000002</v>
      </c>
    </row>
    <row r="69" spans="1:13" x14ac:dyDescent="0.25">
      <c r="A69" s="10">
        <v>3</v>
      </c>
      <c r="B69">
        <v>100</v>
      </c>
      <c r="C69">
        <v>3.0813899999999995E-2</v>
      </c>
      <c r="D69">
        <v>3.2197499999999997E-2</v>
      </c>
      <c r="E69" s="1">
        <v>36.551099999999991</v>
      </c>
      <c r="F69">
        <v>99.96</v>
      </c>
      <c r="G69">
        <v>6.7482799999999996E-2</v>
      </c>
      <c r="H69">
        <v>0.1501876</v>
      </c>
      <c r="I69" s="1">
        <v>13.014900000000001</v>
      </c>
      <c r="J69">
        <v>96.98</v>
      </c>
      <c r="K69">
        <v>3.0439309000000003</v>
      </c>
      <c r="L69">
        <v>5.7743507999999988</v>
      </c>
      <c r="M69" s="1">
        <v>119.41779999999997</v>
      </c>
    </row>
    <row r="70" spans="1:13" x14ac:dyDescent="0.25">
      <c r="A70" s="11">
        <v>4</v>
      </c>
      <c r="B70">
        <v>100</v>
      </c>
      <c r="C70">
        <v>2.491280000000002E-2</v>
      </c>
      <c r="D70">
        <v>2.5598800000000001E-2</v>
      </c>
      <c r="E70" s="1">
        <v>36.427700000000016</v>
      </c>
      <c r="F70">
        <v>99.98</v>
      </c>
      <c r="G70">
        <v>0.1138912</v>
      </c>
      <c r="H70">
        <v>0.248442</v>
      </c>
      <c r="I70" s="1">
        <v>12.5107</v>
      </c>
      <c r="J70">
        <v>98.44</v>
      </c>
      <c r="K70">
        <v>3.4923712</v>
      </c>
      <c r="L70">
        <v>4.5071782999999996</v>
      </c>
      <c r="M70" s="1">
        <v>113.8462</v>
      </c>
    </row>
    <row r="71" spans="1:13" x14ac:dyDescent="0.25">
      <c r="A71" s="12">
        <v>5</v>
      </c>
      <c r="B71" s="2">
        <v>100</v>
      </c>
      <c r="C71" s="2">
        <v>2.1133799999999998E-2</v>
      </c>
      <c r="D71" s="2">
        <v>1.7745999999999987E-2</v>
      </c>
      <c r="E71" s="3">
        <v>30.8931</v>
      </c>
      <c r="F71" s="2">
        <v>99.97</v>
      </c>
      <c r="G71" s="2">
        <v>8.0614500000000006E-2</v>
      </c>
      <c r="H71" s="2">
        <v>0.16353680000000001</v>
      </c>
      <c r="I71" s="3">
        <v>8.7035</v>
      </c>
      <c r="J71" s="2">
        <v>97.53</v>
      </c>
      <c r="K71" s="2">
        <v>5.3829976000000004</v>
      </c>
      <c r="L71" s="2">
        <v>6.4927840999999997</v>
      </c>
      <c r="M71" s="3">
        <v>196.8271</v>
      </c>
    </row>
    <row r="72" spans="1:13" x14ac:dyDescent="0.25">
      <c r="A72" s="9" t="s">
        <v>16</v>
      </c>
      <c r="B72" s="4" t="s">
        <v>2</v>
      </c>
      <c r="C72" s="4" t="s">
        <v>3</v>
      </c>
      <c r="D72" s="4" t="s">
        <v>4</v>
      </c>
      <c r="E72" s="5" t="s">
        <v>5</v>
      </c>
      <c r="F72" s="4" t="s">
        <v>2</v>
      </c>
      <c r="G72" s="4" t="s">
        <v>3</v>
      </c>
      <c r="H72" s="4" t="s">
        <v>4</v>
      </c>
      <c r="I72" s="5" t="s">
        <v>5</v>
      </c>
      <c r="J72" s="4" t="s">
        <v>2</v>
      </c>
      <c r="K72" s="4" t="s">
        <v>3</v>
      </c>
      <c r="L72" s="4" t="s">
        <v>4</v>
      </c>
      <c r="M72" s="5" t="s">
        <v>5</v>
      </c>
    </row>
    <row r="73" spans="1:13" x14ac:dyDescent="0.25">
      <c r="A73" s="11">
        <v>100</v>
      </c>
      <c r="B73">
        <v>99.99</v>
      </c>
      <c r="C73">
        <v>4.7526100000000002E-2</v>
      </c>
      <c r="D73">
        <v>4.8878400000000002E-2</v>
      </c>
      <c r="E73" s="1">
        <v>39.978499999999997</v>
      </c>
      <c r="F73">
        <v>99.97</v>
      </c>
      <c r="G73">
        <v>6.3005900000000004E-2</v>
      </c>
      <c r="H73">
        <v>0.12930179999999994</v>
      </c>
      <c r="I73" s="1">
        <v>13.222200000000001</v>
      </c>
      <c r="J73">
        <v>96.53</v>
      </c>
      <c r="K73">
        <v>3.1322823000000013</v>
      </c>
      <c r="L73">
        <v>6.2209212000000003</v>
      </c>
      <c r="M73" s="1">
        <v>122.68439999999998</v>
      </c>
    </row>
    <row r="74" spans="1:13" x14ac:dyDescent="0.25">
      <c r="A74" s="11">
        <v>150</v>
      </c>
      <c r="B74">
        <v>99.99</v>
      </c>
      <c r="C74">
        <v>4.80586E-2</v>
      </c>
      <c r="D74">
        <v>4.5145600000000001E-2</v>
      </c>
      <c r="E74" s="1">
        <v>38.540900000000001</v>
      </c>
      <c r="F74">
        <v>99.96</v>
      </c>
      <c r="G74">
        <v>6.3037000000000024E-2</v>
      </c>
      <c r="H74">
        <v>0.15511949999999997</v>
      </c>
      <c r="I74" s="1">
        <v>13.604499999999996</v>
      </c>
      <c r="J74">
        <v>96.72</v>
      </c>
      <c r="K74">
        <v>3.0600265000000002</v>
      </c>
      <c r="L74">
        <v>6.2516749000000003</v>
      </c>
      <c r="M74" s="1">
        <v>129.48300000000003</v>
      </c>
    </row>
    <row r="75" spans="1:13" x14ac:dyDescent="0.25">
      <c r="A75" s="10">
        <v>200</v>
      </c>
      <c r="B75">
        <v>100</v>
      </c>
      <c r="C75">
        <v>3.0813899999999995E-2</v>
      </c>
      <c r="D75">
        <v>3.2197499999999997E-2</v>
      </c>
      <c r="E75" s="1">
        <v>36.551099999999991</v>
      </c>
      <c r="F75">
        <v>99.96</v>
      </c>
      <c r="G75">
        <v>6.7482799999999996E-2</v>
      </c>
      <c r="H75">
        <v>0.1501876</v>
      </c>
      <c r="I75" s="1">
        <v>13.014900000000001</v>
      </c>
      <c r="J75">
        <v>96.98</v>
      </c>
      <c r="K75">
        <v>3.0439309000000003</v>
      </c>
      <c r="L75">
        <v>5.7743507999999988</v>
      </c>
      <c r="M75" s="1">
        <v>119.41779999999997</v>
      </c>
    </row>
    <row r="76" spans="1:13" x14ac:dyDescent="0.25">
      <c r="A76" s="11">
        <v>250</v>
      </c>
      <c r="B76">
        <v>100</v>
      </c>
      <c r="C76">
        <v>4.7216599999999997E-2</v>
      </c>
      <c r="D76">
        <v>4.4207499999999997E-2</v>
      </c>
      <c r="E76" s="1">
        <v>39.260800000000003</v>
      </c>
      <c r="F76">
        <v>99.97</v>
      </c>
      <c r="G76">
        <v>6.3872399999999996E-2</v>
      </c>
      <c r="H76">
        <v>0.12696630000000006</v>
      </c>
      <c r="I76" s="1">
        <v>11.271799999999995</v>
      </c>
      <c r="J76">
        <v>96.58</v>
      </c>
      <c r="K76">
        <v>3.1801217000000008</v>
      </c>
      <c r="L76">
        <v>6.0440429000000018</v>
      </c>
      <c r="M76" s="1">
        <v>112.14089999999996</v>
      </c>
    </row>
    <row r="77" spans="1:13" x14ac:dyDescent="0.25">
      <c r="A77" s="12">
        <v>300</v>
      </c>
      <c r="B77" s="2">
        <v>100</v>
      </c>
      <c r="C77" s="2">
        <v>4.0267200000000003E-2</v>
      </c>
      <c r="D77" s="2">
        <v>3.65288E-2</v>
      </c>
      <c r="E77" s="3">
        <v>38.926299999999998</v>
      </c>
      <c r="F77" s="2">
        <v>99.96</v>
      </c>
      <c r="G77" s="2">
        <v>9.3781099999999923E-2</v>
      </c>
      <c r="H77" s="2">
        <v>0.19023880000000004</v>
      </c>
      <c r="I77" s="3">
        <v>12.692899999999998</v>
      </c>
      <c r="J77" s="2">
        <v>97.08</v>
      </c>
      <c r="K77" s="2">
        <v>3.1140989999999995</v>
      </c>
      <c r="L77" s="2">
        <v>5.8536709000000018</v>
      </c>
      <c r="M77" s="3">
        <v>109.77860000000004</v>
      </c>
    </row>
    <row r="78" spans="1:13" x14ac:dyDescent="0.25">
      <c r="A78" s="9" t="s">
        <v>17</v>
      </c>
      <c r="B78" s="4" t="s">
        <v>2</v>
      </c>
      <c r="C78" s="4" t="s">
        <v>3</v>
      </c>
      <c r="D78" s="4" t="s">
        <v>4</v>
      </c>
      <c r="E78" s="5" t="s">
        <v>5</v>
      </c>
      <c r="F78" s="4" t="s">
        <v>2</v>
      </c>
      <c r="G78" s="4" t="s">
        <v>3</v>
      </c>
      <c r="H78" s="4" t="s">
        <v>4</v>
      </c>
      <c r="I78" s="5" t="s">
        <v>5</v>
      </c>
      <c r="J78" s="4" t="s">
        <v>2</v>
      </c>
      <c r="K78" s="4" t="s">
        <v>3</v>
      </c>
      <c r="L78" s="4" t="s">
        <v>4</v>
      </c>
      <c r="M78" s="5" t="s">
        <v>5</v>
      </c>
    </row>
    <row r="79" spans="1:13" x14ac:dyDescent="0.25">
      <c r="A79" s="11">
        <v>40</v>
      </c>
      <c r="B79">
        <v>100</v>
      </c>
      <c r="C79">
        <v>5.6834200000000001E-2</v>
      </c>
      <c r="D79">
        <v>5.7510800000000001E-2</v>
      </c>
      <c r="E79" s="1">
        <v>37.3337</v>
      </c>
      <c r="F79">
        <v>99.88</v>
      </c>
      <c r="G79">
        <v>6.988999999999998E-2</v>
      </c>
      <c r="H79">
        <v>0.14528879999999997</v>
      </c>
      <c r="I79" s="1">
        <v>13.037700000000003</v>
      </c>
      <c r="M79" s="1"/>
    </row>
    <row r="80" spans="1:13" x14ac:dyDescent="0.25">
      <c r="A80" s="11">
        <v>60</v>
      </c>
      <c r="B80">
        <v>99.99</v>
      </c>
      <c r="C80">
        <v>3.9106099999999998E-2</v>
      </c>
      <c r="D80">
        <v>3.7037399999999998E-2</v>
      </c>
      <c r="E80" s="1">
        <v>38.559699999999999</v>
      </c>
      <c r="F80">
        <v>99.88</v>
      </c>
      <c r="G80">
        <v>7.4446199999999962E-2</v>
      </c>
      <c r="H80">
        <v>0.16467549999999995</v>
      </c>
      <c r="I80" s="1">
        <v>11.859300000000003</v>
      </c>
      <c r="M80" s="1"/>
    </row>
    <row r="81" spans="1:13" x14ac:dyDescent="0.25">
      <c r="A81" s="11">
        <v>80</v>
      </c>
      <c r="B81">
        <v>100</v>
      </c>
      <c r="C81">
        <v>3.6788700000000001E-2</v>
      </c>
      <c r="D81">
        <v>3.5028299999999998E-2</v>
      </c>
      <c r="E81" s="1">
        <v>39.083500000000001</v>
      </c>
      <c r="F81">
        <v>99.92</v>
      </c>
      <c r="G81">
        <v>6.1425600000000004E-2</v>
      </c>
      <c r="H81">
        <v>0.14651949999999997</v>
      </c>
      <c r="I81" s="1">
        <v>12.763499999999997</v>
      </c>
      <c r="M81" s="1"/>
    </row>
    <row r="82" spans="1:13" x14ac:dyDescent="0.25">
      <c r="A82" s="10">
        <v>100</v>
      </c>
      <c r="B82">
        <v>100</v>
      </c>
      <c r="C82">
        <v>3.0813899999999995E-2</v>
      </c>
      <c r="D82">
        <v>3.2197499999999997E-2</v>
      </c>
      <c r="E82" s="1">
        <v>36.551099999999991</v>
      </c>
      <c r="F82">
        <v>99.96</v>
      </c>
      <c r="G82">
        <v>6.7482799999999996E-2</v>
      </c>
      <c r="H82">
        <v>0.1501876</v>
      </c>
      <c r="I82" s="1">
        <v>13.014900000000001</v>
      </c>
      <c r="J82">
        <v>96.98</v>
      </c>
      <c r="K82">
        <v>3.0439309000000003</v>
      </c>
      <c r="L82">
        <v>5.7743507999999988</v>
      </c>
      <c r="M82" s="1">
        <v>119.41779999999997</v>
      </c>
    </row>
    <row r="83" spans="1:13" x14ac:dyDescent="0.25">
      <c r="A83" s="12">
        <v>120</v>
      </c>
      <c r="B83" s="2">
        <v>100</v>
      </c>
      <c r="C83" s="2">
        <v>3.7404E-2</v>
      </c>
      <c r="D83" s="2">
        <v>3.4836899999999997E-2</v>
      </c>
      <c r="E83" s="3">
        <v>39.830100000000002</v>
      </c>
      <c r="F83" s="2">
        <v>99.92</v>
      </c>
      <c r="G83" s="2">
        <v>6.3990500000000006E-2</v>
      </c>
      <c r="H83" s="2">
        <v>0.14683099999999996</v>
      </c>
      <c r="I83" s="3">
        <v>12.540000000000003</v>
      </c>
      <c r="J83" s="7"/>
      <c r="K83" s="2"/>
      <c r="L83" s="2"/>
      <c r="M83" s="3"/>
    </row>
    <row r="84" spans="1:13" x14ac:dyDescent="0.25">
      <c r="A84" s="9" t="s">
        <v>18</v>
      </c>
      <c r="B84" s="4" t="s">
        <v>2</v>
      </c>
      <c r="C84" s="4" t="s">
        <v>3</v>
      </c>
      <c r="D84" s="4" t="s">
        <v>4</v>
      </c>
      <c r="E84" s="5" t="s">
        <v>5</v>
      </c>
      <c r="F84" s="4" t="s">
        <v>2</v>
      </c>
      <c r="G84" s="4" t="s">
        <v>3</v>
      </c>
      <c r="H84" s="4" t="s">
        <v>4</v>
      </c>
      <c r="I84" s="5" t="s">
        <v>5</v>
      </c>
      <c r="J84" s="4" t="s">
        <v>2</v>
      </c>
      <c r="K84" s="4" t="s">
        <v>3</v>
      </c>
      <c r="L84" s="4" t="s">
        <v>4</v>
      </c>
      <c r="M84" s="5" t="s">
        <v>5</v>
      </c>
    </row>
    <row r="85" spans="1:13" x14ac:dyDescent="0.25">
      <c r="A85" s="11">
        <v>5</v>
      </c>
      <c r="B85">
        <v>100</v>
      </c>
      <c r="C85">
        <v>4.9036900000000001E-2</v>
      </c>
      <c r="D85">
        <v>4.7078399999999999E-2</v>
      </c>
      <c r="E85" s="1">
        <v>39.128599999999999</v>
      </c>
      <c r="F85">
        <v>99.87</v>
      </c>
      <c r="G85">
        <v>6.9804100000000022E-2</v>
      </c>
      <c r="H85">
        <v>0.14163790000000012</v>
      </c>
      <c r="I85" s="1">
        <v>11.830299999999998</v>
      </c>
      <c r="M85" s="1"/>
    </row>
    <row r="86" spans="1:13" x14ac:dyDescent="0.25">
      <c r="A86" s="10">
        <v>10</v>
      </c>
      <c r="B86">
        <v>100</v>
      </c>
      <c r="C86">
        <v>3.0813899999999995E-2</v>
      </c>
      <c r="D86">
        <v>3.2197499999999997E-2</v>
      </c>
      <c r="E86" s="1">
        <v>36.551099999999991</v>
      </c>
      <c r="F86">
        <v>99.96</v>
      </c>
      <c r="G86">
        <v>6.7482799999999996E-2</v>
      </c>
      <c r="H86">
        <v>0.1501876</v>
      </c>
      <c r="I86" s="1">
        <v>13.014900000000001</v>
      </c>
      <c r="J86">
        <v>96.98</v>
      </c>
      <c r="K86">
        <v>3.0439309000000003</v>
      </c>
      <c r="L86">
        <v>5.7743507999999988</v>
      </c>
      <c r="M86" s="1">
        <v>119.41779999999997</v>
      </c>
    </row>
    <row r="87" spans="1:13" x14ac:dyDescent="0.25">
      <c r="A87" s="11">
        <v>15</v>
      </c>
      <c r="B87">
        <v>100</v>
      </c>
      <c r="C87">
        <v>3.7096799999999971E-2</v>
      </c>
      <c r="D87">
        <v>3.45151E-2</v>
      </c>
      <c r="E87" s="1">
        <v>39.052599999999991</v>
      </c>
      <c r="F87">
        <v>99.98</v>
      </c>
      <c r="G87">
        <v>7.0516300000000018E-2</v>
      </c>
      <c r="H87">
        <v>0.14611370000000001</v>
      </c>
      <c r="I87" s="1">
        <v>12.543700000000001</v>
      </c>
      <c r="M87" s="1"/>
    </row>
    <row r="88" spans="1:13" x14ac:dyDescent="0.25">
      <c r="A88" s="11">
        <v>20</v>
      </c>
      <c r="B88">
        <v>100</v>
      </c>
      <c r="C88">
        <v>3.7290400000000001E-2</v>
      </c>
      <c r="D88">
        <v>3.4066600000000002E-2</v>
      </c>
      <c r="E88" s="1">
        <v>37.4617</v>
      </c>
      <c r="F88">
        <v>99.96</v>
      </c>
      <c r="G88">
        <v>6.1671700000000003E-2</v>
      </c>
      <c r="H88">
        <v>0.12872830000000005</v>
      </c>
      <c r="I88" s="1">
        <v>12.259499999999997</v>
      </c>
      <c r="M88" s="1"/>
    </row>
    <row r="89" spans="1:13" x14ac:dyDescent="0.25">
      <c r="A89" s="12">
        <v>25</v>
      </c>
      <c r="B89" s="2">
        <v>100</v>
      </c>
      <c r="C89" s="2">
        <v>3.1769499999999999E-2</v>
      </c>
      <c r="D89" s="2">
        <v>2.8842199999999998E-2</v>
      </c>
      <c r="E89" s="3">
        <v>36.078099999999999</v>
      </c>
      <c r="F89" s="2">
        <v>99.96</v>
      </c>
      <c r="G89" s="2">
        <v>6.3353900000000032E-2</v>
      </c>
      <c r="H89" s="2">
        <v>0.12418950000000002</v>
      </c>
      <c r="I89" s="3">
        <v>11.617499999999996</v>
      </c>
      <c r="J89" s="2"/>
      <c r="K89" s="2"/>
      <c r="L89" s="2"/>
      <c r="M89" s="3"/>
    </row>
    <row r="92" spans="1:13" x14ac:dyDescent="0.25">
      <c r="A92" s="118" t="s">
        <v>19</v>
      </c>
      <c r="B92" s="119"/>
      <c r="C92" s="119"/>
      <c r="D92" s="119"/>
      <c r="E92" s="119"/>
      <c r="F92" s="120"/>
    </row>
    <row r="93" spans="1:13" x14ac:dyDescent="0.25">
      <c r="A93" s="121"/>
      <c r="B93" s="122"/>
      <c r="C93" s="122"/>
      <c r="D93" s="122"/>
      <c r="E93" s="122"/>
      <c r="F93" s="123"/>
    </row>
    <row r="94" spans="1:13" x14ac:dyDescent="0.25">
      <c r="A94" s="14" t="s">
        <v>25</v>
      </c>
      <c r="B94" s="14" t="s">
        <v>24</v>
      </c>
      <c r="C94" s="15" t="s">
        <v>2</v>
      </c>
      <c r="D94" s="15" t="s">
        <v>3</v>
      </c>
      <c r="E94" s="15" t="s">
        <v>4</v>
      </c>
      <c r="F94" s="16" t="s">
        <v>5</v>
      </c>
    </row>
    <row r="95" spans="1:13" x14ac:dyDescent="0.25">
      <c r="A95" s="124" t="s">
        <v>20</v>
      </c>
      <c r="B95" s="17">
        <v>1</v>
      </c>
      <c r="C95">
        <v>100</v>
      </c>
      <c r="D95">
        <v>2.9288000000000002E-2</v>
      </c>
      <c r="E95">
        <v>2.6105699999999999E-2</v>
      </c>
      <c r="F95" s="1">
        <v>36.239199999999997</v>
      </c>
    </row>
    <row r="96" spans="1:13" x14ac:dyDescent="0.25">
      <c r="A96" s="125"/>
      <c r="B96" s="11">
        <v>3</v>
      </c>
      <c r="C96">
        <v>100</v>
      </c>
      <c r="D96">
        <v>3.4824599999999997E-2</v>
      </c>
      <c r="E96">
        <v>3.2408300000000001E-2</v>
      </c>
      <c r="F96" s="1">
        <v>38.4283</v>
      </c>
    </row>
    <row r="97" spans="1:6" x14ac:dyDescent="0.25">
      <c r="A97" s="125"/>
      <c r="B97" s="10">
        <v>5</v>
      </c>
      <c r="C97">
        <v>100</v>
      </c>
      <c r="D97">
        <v>3.0813899999999995E-2</v>
      </c>
      <c r="E97">
        <v>3.2197499999999997E-2</v>
      </c>
      <c r="F97" s="1">
        <v>36.551099999999991</v>
      </c>
    </row>
    <row r="98" spans="1:6" x14ac:dyDescent="0.25">
      <c r="A98" s="125"/>
      <c r="B98" s="11">
        <v>7</v>
      </c>
      <c r="C98">
        <v>100</v>
      </c>
      <c r="D98">
        <v>4.4583400000000002E-2</v>
      </c>
      <c r="E98">
        <v>4.8254499999999999E-2</v>
      </c>
      <c r="F98" s="1">
        <v>38.5563</v>
      </c>
    </row>
    <row r="99" spans="1:6" x14ac:dyDescent="0.25">
      <c r="A99" s="126"/>
      <c r="B99" s="12">
        <v>9</v>
      </c>
      <c r="C99" s="2">
        <v>100</v>
      </c>
      <c r="D99" s="2">
        <v>3.9925299999999997E-2</v>
      </c>
      <c r="E99" s="2">
        <v>3.8214199999999997E-2</v>
      </c>
      <c r="F99" s="3">
        <v>39.147100000000002</v>
      </c>
    </row>
    <row r="100" spans="1:6" x14ac:dyDescent="0.25">
      <c r="A100" s="124" t="s">
        <v>21</v>
      </c>
      <c r="B100" s="11">
        <v>10</v>
      </c>
      <c r="C100">
        <v>99.9</v>
      </c>
      <c r="D100">
        <v>5.7673000000000002E-2</v>
      </c>
      <c r="E100">
        <v>0.11533740000000001</v>
      </c>
      <c r="F100" s="1">
        <v>11.7933</v>
      </c>
    </row>
    <row r="101" spans="1:6" x14ac:dyDescent="0.25">
      <c r="A101" s="125"/>
      <c r="B101" s="11">
        <v>15</v>
      </c>
      <c r="C101">
        <v>99.92</v>
      </c>
      <c r="D101">
        <v>5.9543100000000002E-2</v>
      </c>
      <c r="E101">
        <v>0.1218461</v>
      </c>
      <c r="F101" s="1">
        <v>11.414099999999999</v>
      </c>
    </row>
    <row r="102" spans="1:6" x14ac:dyDescent="0.25">
      <c r="A102" s="125"/>
      <c r="B102" s="10">
        <v>20</v>
      </c>
      <c r="C102">
        <v>99.96</v>
      </c>
      <c r="D102">
        <v>6.7482799999999996E-2</v>
      </c>
      <c r="E102">
        <v>0.1501876</v>
      </c>
      <c r="F102" s="1">
        <v>13.014900000000001</v>
      </c>
    </row>
    <row r="103" spans="1:6" x14ac:dyDescent="0.25">
      <c r="A103" s="125"/>
      <c r="B103" s="11">
        <v>25</v>
      </c>
      <c r="C103">
        <v>99.94</v>
      </c>
      <c r="D103">
        <v>5.8848499999999998E-2</v>
      </c>
      <c r="E103">
        <v>0.12815660000000001</v>
      </c>
      <c r="F103" s="1">
        <v>12.5817</v>
      </c>
    </row>
    <row r="104" spans="1:6" x14ac:dyDescent="0.25">
      <c r="A104" s="126"/>
      <c r="B104" s="12">
        <v>30</v>
      </c>
      <c r="C104" s="2">
        <v>99.96</v>
      </c>
      <c r="D104" s="2">
        <v>5.8732600000000003E-2</v>
      </c>
      <c r="E104" s="2">
        <v>0.1226805</v>
      </c>
      <c r="F104" s="3">
        <v>12.6214</v>
      </c>
    </row>
    <row r="105" spans="1:6" x14ac:dyDescent="0.25">
      <c r="A105" s="124" t="s">
        <v>22</v>
      </c>
      <c r="B105" s="11">
        <v>60</v>
      </c>
      <c r="F105" s="1"/>
    </row>
    <row r="106" spans="1:6" x14ac:dyDescent="0.25">
      <c r="A106" s="125"/>
      <c r="B106" s="11">
        <v>90</v>
      </c>
      <c r="F106" s="1"/>
    </row>
    <row r="107" spans="1:6" x14ac:dyDescent="0.25">
      <c r="A107" s="125"/>
      <c r="B107" s="10">
        <v>120</v>
      </c>
      <c r="C107">
        <v>96.98</v>
      </c>
      <c r="D107">
        <v>3.0439309000000003</v>
      </c>
      <c r="E107">
        <v>5.7743507999999988</v>
      </c>
      <c r="F107" s="1">
        <v>119.41779999999997</v>
      </c>
    </row>
    <row r="108" spans="1:6" x14ac:dyDescent="0.25">
      <c r="A108" s="125"/>
      <c r="B108" s="11">
        <v>150</v>
      </c>
      <c r="F108" s="1"/>
    </row>
    <row r="109" spans="1:6" x14ac:dyDescent="0.25">
      <c r="A109" s="126"/>
      <c r="B109" s="12">
        <v>180</v>
      </c>
      <c r="C109" s="2"/>
      <c r="D109" s="2"/>
      <c r="E109" s="2"/>
      <c r="F109" s="3"/>
    </row>
  </sheetData>
  <mergeCells count="19">
    <mergeCell ref="B3:E4"/>
    <mergeCell ref="F3:I4"/>
    <mergeCell ref="J3:M4"/>
    <mergeCell ref="A3:A4"/>
    <mergeCell ref="A1:M2"/>
    <mergeCell ref="A32:M33"/>
    <mergeCell ref="A34:A35"/>
    <mergeCell ref="B34:E35"/>
    <mergeCell ref="F34:I35"/>
    <mergeCell ref="J34:M35"/>
    <mergeCell ref="A100:A104"/>
    <mergeCell ref="A105:A109"/>
    <mergeCell ref="A92:F93"/>
    <mergeCell ref="A95:A99"/>
    <mergeCell ref="A62:M63"/>
    <mergeCell ref="A64:A65"/>
    <mergeCell ref="B64:E65"/>
    <mergeCell ref="F64:I65"/>
    <mergeCell ref="J64:M6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Ablation Experiments</vt:lpstr>
      <vt:lpstr>Main Experimentation Runs</vt:lpstr>
      <vt:lpstr>Main Experimentation</vt:lpstr>
      <vt:lpstr>Ablation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Mendez</dc:creator>
  <cp:lastModifiedBy>Rico Mendez</cp:lastModifiedBy>
  <dcterms:created xsi:type="dcterms:W3CDTF">2026-03-13T15:15:05Z</dcterms:created>
  <dcterms:modified xsi:type="dcterms:W3CDTF">2026-05-12T05:08:28Z</dcterms:modified>
</cp:coreProperties>
</file>